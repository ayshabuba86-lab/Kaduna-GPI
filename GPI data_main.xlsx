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BB750B-1F6F-4EE7-8D8A-F36A3D6D3B79}" xr6:coauthVersionLast="47" xr6:coauthVersionMax="47" xr10:uidLastSave="{00000000-0000-0000-0000-000000000000}"/>
  <bookViews>
    <workbookView xWindow="-110" yWindow="-110" windowWidth="19420" windowHeight="10420" xr2:uid="{80A8CDBC-A7B8-49AB-B618-86C968C0C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7" i="1" l="1"/>
  <c r="S42" i="1"/>
  <c r="S45" i="1"/>
  <c r="S25" i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P38" i="1"/>
  <c r="S38" i="1" s="1"/>
  <c r="P39" i="1"/>
  <c r="S39" i="1" s="1"/>
  <c r="P40" i="1"/>
  <c r="S40" i="1" s="1"/>
  <c r="P41" i="1"/>
  <c r="S41" i="1" s="1"/>
  <c r="P42" i="1"/>
  <c r="P43" i="1"/>
  <c r="S43" i="1" s="1"/>
  <c r="P44" i="1"/>
  <c r="S44" i="1" s="1"/>
  <c r="P45" i="1"/>
  <c r="P46" i="1"/>
  <c r="S46" i="1" s="1"/>
  <c r="P47" i="1"/>
  <c r="S47" i="1" s="1"/>
  <c r="P26" i="1"/>
  <c r="S26" i="1" s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5" i="1"/>
  <c r="H163" i="1"/>
  <c r="K163" i="1"/>
  <c r="M163" i="1"/>
  <c r="O163" i="1" s="1"/>
  <c r="K185" i="1"/>
  <c r="K184" i="1"/>
  <c r="K183" i="1"/>
  <c r="H185" i="1"/>
  <c r="H184" i="1"/>
  <c r="H183" i="1"/>
  <c r="E184" i="1"/>
  <c r="E185" i="1"/>
  <c r="E18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M2" i="1"/>
  <c r="P2" i="1"/>
  <c r="M3" i="1"/>
  <c r="O3" i="1" s="1"/>
  <c r="P3" i="1"/>
  <c r="M4" i="1"/>
  <c r="O4" i="1" s="1"/>
  <c r="P4" i="1"/>
  <c r="M5" i="1"/>
  <c r="O5" i="1" s="1"/>
  <c r="P5" i="1"/>
  <c r="M6" i="1"/>
  <c r="O6" i="1" s="1"/>
  <c r="P6" i="1"/>
  <c r="M7" i="1"/>
  <c r="O7" i="1" s="1"/>
  <c r="P7" i="1"/>
  <c r="M8" i="1"/>
  <c r="O8" i="1" s="1"/>
  <c r="P8" i="1"/>
  <c r="M9" i="1"/>
  <c r="O9" i="1" s="1"/>
  <c r="P9" i="1"/>
  <c r="M10" i="1"/>
  <c r="O10" i="1" s="1"/>
  <c r="P10" i="1"/>
  <c r="M11" i="1"/>
  <c r="O11" i="1" s="1"/>
  <c r="P11" i="1"/>
  <c r="M12" i="1"/>
  <c r="O12" i="1" s="1"/>
  <c r="P12" i="1"/>
  <c r="M13" i="1"/>
  <c r="O13" i="1" s="1"/>
  <c r="P13" i="1"/>
  <c r="M14" i="1"/>
  <c r="O14" i="1" s="1"/>
  <c r="P14" i="1"/>
  <c r="M15" i="1"/>
  <c r="O15" i="1" s="1"/>
  <c r="P15" i="1"/>
  <c r="M16" i="1"/>
  <c r="O16" i="1" s="1"/>
  <c r="P16" i="1"/>
  <c r="M17" i="1"/>
  <c r="O17" i="1" s="1"/>
  <c r="P17" i="1"/>
  <c r="M18" i="1"/>
  <c r="O18" i="1" s="1"/>
  <c r="P18" i="1"/>
  <c r="M19" i="1"/>
  <c r="O19" i="1" s="1"/>
  <c r="P19" i="1"/>
  <c r="M20" i="1"/>
  <c r="O20" i="1" s="1"/>
  <c r="P20" i="1"/>
  <c r="M21" i="1"/>
  <c r="O21" i="1" s="1"/>
  <c r="P21" i="1"/>
  <c r="M22" i="1"/>
  <c r="O22" i="1" s="1"/>
  <c r="P22" i="1"/>
  <c r="M23" i="1"/>
  <c r="O23" i="1" s="1"/>
  <c r="P23" i="1"/>
  <c r="M24" i="1"/>
  <c r="O24" i="1" s="1"/>
  <c r="P24" i="1"/>
  <c r="R2" i="1"/>
  <c r="S2" i="1" s="1"/>
  <c r="R3" i="1"/>
  <c r="R4" i="1"/>
  <c r="S4" i="1" s="1"/>
  <c r="R5" i="1"/>
  <c r="S5" i="1" s="1"/>
  <c r="R6" i="1"/>
  <c r="R7" i="1"/>
  <c r="R8" i="1"/>
  <c r="R9" i="1"/>
  <c r="R10" i="1"/>
  <c r="R11" i="1"/>
  <c r="R12" i="1"/>
  <c r="S12" i="1" s="1"/>
  <c r="R13" i="1"/>
  <c r="R14" i="1"/>
  <c r="R15" i="1"/>
  <c r="S15" i="1" s="1"/>
  <c r="R16" i="1"/>
  <c r="S16" i="1" s="1"/>
  <c r="R17" i="1"/>
  <c r="S17" i="1" s="1"/>
  <c r="R18" i="1"/>
  <c r="R19" i="1"/>
  <c r="R20" i="1"/>
  <c r="S20" i="1" s="1"/>
  <c r="M49" i="1"/>
  <c r="O49" i="1" s="1"/>
  <c r="M48" i="1"/>
  <c r="O48" i="1" s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R141" i="1" s="1"/>
  <c r="P142" i="1"/>
  <c r="R142" i="1" s="1"/>
  <c r="P143" i="1"/>
  <c r="P144" i="1"/>
  <c r="P145" i="1"/>
  <c r="R145" i="1" s="1"/>
  <c r="P146" i="1"/>
  <c r="R146" i="1" s="1"/>
  <c r="P147" i="1"/>
  <c r="P148" i="1"/>
  <c r="P149" i="1"/>
  <c r="R149" i="1" s="1"/>
  <c r="P150" i="1"/>
  <c r="R150" i="1" s="1"/>
  <c r="P151" i="1"/>
  <c r="P152" i="1"/>
  <c r="P153" i="1"/>
  <c r="R153" i="1" s="1"/>
  <c r="P154" i="1"/>
  <c r="R154" i="1" s="1"/>
  <c r="P155" i="1"/>
  <c r="P156" i="1"/>
  <c r="P157" i="1"/>
  <c r="R157" i="1" s="1"/>
  <c r="P158" i="1"/>
  <c r="R158" i="1" s="1"/>
  <c r="P159" i="1"/>
  <c r="P160" i="1"/>
  <c r="P161" i="1"/>
  <c r="R161" i="1" s="1"/>
  <c r="P162" i="1"/>
  <c r="R162" i="1" s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70" i="1"/>
  <c r="O70" i="1" s="1"/>
  <c r="R160" i="1" l="1"/>
  <c r="R156" i="1"/>
  <c r="R152" i="1"/>
  <c r="R148" i="1"/>
  <c r="R144" i="1"/>
  <c r="R140" i="1"/>
  <c r="R159" i="1"/>
  <c r="R155" i="1"/>
  <c r="R151" i="1"/>
  <c r="R147" i="1"/>
  <c r="R143" i="1"/>
  <c r="R21" i="1"/>
  <c r="S21" i="1" s="1"/>
  <c r="S7" i="1"/>
  <c r="R169" i="1"/>
  <c r="S169" i="1" s="1"/>
  <c r="R128" i="1"/>
  <c r="S128" i="1" s="1"/>
  <c r="R64" i="1"/>
  <c r="S64" i="1" s="1"/>
  <c r="R24" i="1"/>
  <c r="S11" i="1"/>
  <c r="R23" i="1"/>
  <c r="S23" i="1" s="1"/>
  <c r="R201" i="1"/>
  <c r="S201" i="1" s="1"/>
  <c r="R193" i="1"/>
  <c r="S193" i="1" s="1"/>
  <c r="R185" i="1"/>
  <c r="S185" i="1" s="1"/>
  <c r="R177" i="1"/>
  <c r="S177" i="1" s="1"/>
  <c r="R136" i="1"/>
  <c r="S136" i="1" s="1"/>
  <c r="R120" i="1"/>
  <c r="S120" i="1" s="1"/>
  <c r="R112" i="1"/>
  <c r="S112" i="1" s="1"/>
  <c r="R104" i="1"/>
  <c r="S104" i="1" s="1"/>
  <c r="R96" i="1"/>
  <c r="S96" i="1" s="1"/>
  <c r="R88" i="1"/>
  <c r="S88" i="1" s="1"/>
  <c r="R80" i="1"/>
  <c r="S80" i="1" s="1"/>
  <c r="R72" i="1"/>
  <c r="S72" i="1" s="1"/>
  <c r="R56" i="1"/>
  <c r="S56" i="1" s="1"/>
  <c r="R48" i="1"/>
  <c r="S48" i="1" s="1"/>
  <c r="R206" i="1"/>
  <c r="S206" i="1" s="1"/>
  <c r="R198" i="1"/>
  <c r="S198" i="1" s="1"/>
  <c r="R190" i="1"/>
  <c r="S190" i="1" s="1"/>
  <c r="R182" i="1"/>
  <c r="S182" i="1" s="1"/>
  <c r="R174" i="1"/>
  <c r="S174" i="1" s="1"/>
  <c r="R166" i="1"/>
  <c r="S166" i="1" s="1"/>
  <c r="R133" i="1"/>
  <c r="S133" i="1" s="1"/>
  <c r="R125" i="1"/>
  <c r="S125" i="1" s="1"/>
  <c r="R117" i="1"/>
  <c r="S117" i="1" s="1"/>
  <c r="R109" i="1"/>
  <c r="S109" i="1" s="1"/>
  <c r="R101" i="1"/>
  <c r="S101" i="1" s="1"/>
  <c r="R93" i="1"/>
  <c r="S93" i="1" s="1"/>
  <c r="R85" i="1"/>
  <c r="S85" i="1" s="1"/>
  <c r="R77" i="1"/>
  <c r="S77" i="1" s="1"/>
  <c r="R69" i="1"/>
  <c r="S69" i="1" s="1"/>
  <c r="R53" i="1"/>
  <c r="S53" i="1" s="1"/>
  <c r="R204" i="1"/>
  <c r="S204" i="1" s="1"/>
  <c r="R196" i="1"/>
  <c r="S196" i="1" s="1"/>
  <c r="R188" i="1"/>
  <c r="S188" i="1" s="1"/>
  <c r="R180" i="1"/>
  <c r="S180" i="1" s="1"/>
  <c r="R172" i="1"/>
  <c r="S172" i="1" s="1"/>
  <c r="R164" i="1"/>
  <c r="S164" i="1" s="1"/>
  <c r="R139" i="1"/>
  <c r="S139" i="1" s="1"/>
  <c r="R131" i="1"/>
  <c r="S131" i="1" s="1"/>
  <c r="R123" i="1"/>
  <c r="S123" i="1" s="1"/>
  <c r="R115" i="1"/>
  <c r="S115" i="1" s="1"/>
  <c r="R107" i="1"/>
  <c r="S107" i="1" s="1"/>
  <c r="R99" i="1"/>
  <c r="S99" i="1" s="1"/>
  <c r="R91" i="1"/>
  <c r="S91" i="1" s="1"/>
  <c r="R83" i="1"/>
  <c r="S83" i="1" s="1"/>
  <c r="R75" i="1"/>
  <c r="S75" i="1" s="1"/>
  <c r="R67" i="1"/>
  <c r="S67" i="1" s="1"/>
  <c r="R59" i="1"/>
  <c r="S59" i="1" s="1"/>
  <c r="R51" i="1"/>
  <c r="S51" i="1" s="1"/>
  <c r="S24" i="1"/>
  <c r="R203" i="1"/>
  <c r="S203" i="1" s="1"/>
  <c r="R195" i="1"/>
  <c r="S195" i="1" s="1"/>
  <c r="R187" i="1"/>
  <c r="S187" i="1" s="1"/>
  <c r="R179" i="1"/>
  <c r="S179" i="1" s="1"/>
  <c r="R171" i="1"/>
  <c r="S171" i="1" s="1"/>
  <c r="R163" i="1"/>
  <c r="S163" i="1" s="1"/>
  <c r="R138" i="1"/>
  <c r="S138" i="1" s="1"/>
  <c r="R130" i="1"/>
  <c r="S130" i="1" s="1"/>
  <c r="R122" i="1"/>
  <c r="S122" i="1" s="1"/>
  <c r="R114" i="1"/>
  <c r="S114" i="1" s="1"/>
  <c r="R106" i="1"/>
  <c r="S106" i="1" s="1"/>
  <c r="R98" i="1"/>
  <c r="S98" i="1" s="1"/>
  <c r="R90" i="1"/>
  <c r="S90" i="1" s="1"/>
  <c r="R82" i="1"/>
  <c r="S82" i="1" s="1"/>
  <c r="R74" i="1"/>
  <c r="S74" i="1" s="1"/>
  <c r="R66" i="1"/>
  <c r="S66" i="1" s="1"/>
  <c r="R58" i="1"/>
  <c r="S58" i="1" s="1"/>
  <c r="R50" i="1"/>
  <c r="S50" i="1" s="1"/>
  <c r="R202" i="1"/>
  <c r="S202" i="1" s="1"/>
  <c r="R194" i="1"/>
  <c r="S194" i="1" s="1"/>
  <c r="R186" i="1"/>
  <c r="S186" i="1" s="1"/>
  <c r="R178" i="1"/>
  <c r="S178" i="1" s="1"/>
  <c r="R170" i="1"/>
  <c r="S170" i="1" s="1"/>
  <c r="R137" i="1"/>
  <c r="S137" i="1" s="1"/>
  <c r="R129" i="1"/>
  <c r="S129" i="1" s="1"/>
  <c r="R121" i="1"/>
  <c r="S121" i="1" s="1"/>
  <c r="R113" i="1"/>
  <c r="S113" i="1" s="1"/>
  <c r="R105" i="1"/>
  <c r="S105" i="1" s="1"/>
  <c r="R97" i="1"/>
  <c r="S97" i="1" s="1"/>
  <c r="R89" i="1"/>
  <c r="S89" i="1" s="1"/>
  <c r="R81" i="1"/>
  <c r="S81" i="1" s="1"/>
  <c r="R73" i="1"/>
  <c r="S73" i="1" s="1"/>
  <c r="R65" i="1"/>
  <c r="S65" i="1" s="1"/>
  <c r="R57" i="1"/>
  <c r="S57" i="1" s="1"/>
  <c r="R49" i="1"/>
  <c r="S49" i="1" s="1"/>
  <c r="R22" i="1"/>
  <c r="S22" i="1" s="1"/>
  <c r="R208" i="1"/>
  <c r="S208" i="1" s="1"/>
  <c r="R200" i="1"/>
  <c r="S200" i="1" s="1"/>
  <c r="R192" i="1"/>
  <c r="S192" i="1" s="1"/>
  <c r="R184" i="1"/>
  <c r="S184" i="1" s="1"/>
  <c r="R176" i="1"/>
  <c r="S176" i="1" s="1"/>
  <c r="R168" i="1"/>
  <c r="S168" i="1" s="1"/>
  <c r="R135" i="1"/>
  <c r="S135" i="1" s="1"/>
  <c r="R127" i="1"/>
  <c r="S127" i="1" s="1"/>
  <c r="R119" i="1"/>
  <c r="S119" i="1" s="1"/>
  <c r="R111" i="1"/>
  <c r="S111" i="1" s="1"/>
  <c r="R103" i="1"/>
  <c r="S103" i="1" s="1"/>
  <c r="R95" i="1"/>
  <c r="S95" i="1" s="1"/>
  <c r="R87" i="1"/>
  <c r="S87" i="1" s="1"/>
  <c r="R79" i="1"/>
  <c r="S79" i="1" s="1"/>
  <c r="R71" i="1"/>
  <c r="S71" i="1" s="1"/>
  <c r="R63" i="1"/>
  <c r="S63" i="1" s="1"/>
  <c r="R55" i="1"/>
  <c r="S55" i="1" s="1"/>
  <c r="R207" i="1"/>
  <c r="S207" i="1" s="1"/>
  <c r="R199" i="1"/>
  <c r="S199" i="1" s="1"/>
  <c r="R191" i="1"/>
  <c r="S191" i="1" s="1"/>
  <c r="R183" i="1"/>
  <c r="S183" i="1" s="1"/>
  <c r="R175" i="1"/>
  <c r="S175" i="1" s="1"/>
  <c r="R167" i="1"/>
  <c r="S167" i="1" s="1"/>
  <c r="R134" i="1"/>
  <c r="S134" i="1" s="1"/>
  <c r="R126" i="1"/>
  <c r="S126" i="1" s="1"/>
  <c r="R118" i="1"/>
  <c r="S118" i="1" s="1"/>
  <c r="R110" i="1"/>
  <c r="S110" i="1" s="1"/>
  <c r="R102" i="1"/>
  <c r="S102" i="1" s="1"/>
  <c r="R94" i="1"/>
  <c r="S94" i="1" s="1"/>
  <c r="R86" i="1"/>
  <c r="S86" i="1" s="1"/>
  <c r="R78" i="1"/>
  <c r="S78" i="1" s="1"/>
  <c r="R70" i="1"/>
  <c r="S70" i="1" s="1"/>
  <c r="R62" i="1"/>
  <c r="S62" i="1" s="1"/>
  <c r="R54" i="1"/>
  <c r="S54" i="1" s="1"/>
  <c r="R61" i="1"/>
  <c r="S61" i="1" s="1"/>
  <c r="R205" i="1"/>
  <c r="R173" i="1"/>
  <c r="S173" i="1" s="1"/>
  <c r="R132" i="1"/>
  <c r="S132" i="1" s="1"/>
  <c r="R100" i="1"/>
  <c r="S100" i="1" s="1"/>
  <c r="R68" i="1"/>
  <c r="S68" i="1" s="1"/>
  <c r="R60" i="1"/>
  <c r="S60" i="1" s="1"/>
  <c r="R52" i="1"/>
  <c r="S52" i="1" s="1"/>
  <c r="R197" i="1"/>
  <c r="S197" i="1" s="1"/>
  <c r="R189" i="1"/>
  <c r="S189" i="1" s="1"/>
  <c r="R181" i="1"/>
  <c r="S181" i="1" s="1"/>
  <c r="R165" i="1"/>
  <c r="S165" i="1" s="1"/>
  <c r="R124" i="1"/>
  <c r="S124" i="1" s="1"/>
  <c r="R116" i="1"/>
  <c r="S116" i="1" s="1"/>
  <c r="R108" i="1"/>
  <c r="S108" i="1" s="1"/>
  <c r="R92" i="1"/>
  <c r="S92" i="1" s="1"/>
  <c r="R84" i="1"/>
  <c r="S84" i="1" s="1"/>
  <c r="R76" i="1"/>
  <c r="S76" i="1" s="1"/>
  <c r="S19" i="1"/>
  <c r="S14" i="1"/>
  <c r="S13" i="1"/>
  <c r="S9" i="1"/>
  <c r="S10" i="1"/>
  <c r="S8" i="1"/>
  <c r="S6" i="1"/>
  <c r="S3" i="1"/>
  <c r="S18" i="1"/>
</calcChain>
</file>

<file path=xl/sharedStrings.xml><?xml version="1.0" encoding="utf-8"?>
<sst xmlns="http://schemas.openxmlformats.org/spreadsheetml/2006/main" count="434" uniqueCount="79">
  <si>
    <t xml:space="preserve">  LGA</t>
  </si>
  <si>
    <t>Year</t>
  </si>
  <si>
    <t>Gender Parity Index</t>
  </si>
  <si>
    <t>boys</t>
  </si>
  <si>
    <t>girls</t>
  </si>
  <si>
    <t>BirninGwari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</si>
  <si>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</si>
  <si>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</si>
  <si>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</si>
  <si>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</si>
  <si>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</si>
  <si>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</si>
  <si>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</si>
  <si>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</si>
  <si>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</si>
  <si>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</si>
  <si>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</si>
  <si>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</si>
  <si>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</si>
  <si>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</si>
  <si>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</si>
  <si>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</si>
  <si>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</si>
  <si>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</si>
  <si>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</si>
  <si>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</si>
  <si>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</si>
  <si>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</si>
  <si>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</si>
  <si>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K NORTH</t>
  </si>
  <si>
    <t>K SOUTH</t>
  </si>
  <si>
    <t>S GARI</t>
  </si>
  <si>
    <t>Z KATAF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</si>
  <si>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</si>
  <si>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</si>
  <si>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</si>
  <si>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</si>
  <si>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</si>
  <si>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</si>
  <si>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</si>
  <si>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</si>
  <si>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</si>
  <si>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Kajuru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</si>
  <si>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</si>
  <si>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</si>
  <si>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</si>
  <si>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</si>
  <si>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</si>
  <si>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</si>
  <si>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</si>
  <si>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</si>
  <si>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</si>
  <si>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</si>
  <si>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ZangonKataf</t>
  </si>
  <si>
    <t>Zaria</t>
  </si>
  <si>
    <t>% girls GER</t>
  </si>
  <si>
    <t>%boys GER</t>
  </si>
  <si>
    <t>GPI</t>
  </si>
  <si>
    <t>total number of schools</t>
  </si>
  <si>
    <t>ss1 boys</t>
  </si>
  <si>
    <t>ss1 girls</t>
  </si>
  <si>
    <t>ss1 total</t>
  </si>
  <si>
    <t>ss2 boys</t>
  </si>
  <si>
    <t>ss2 girls</t>
  </si>
  <si>
    <t>ss2 total</t>
  </si>
  <si>
    <t>1,10</t>
  </si>
  <si>
    <t xml:space="preserve">ss3 boys </t>
  </si>
  <si>
    <t>ss3 girls</t>
  </si>
  <si>
    <t>ss3 total</t>
  </si>
  <si>
    <t>total number of pupils</t>
  </si>
  <si>
    <t>2014/2015</t>
  </si>
  <si>
    <t>2015/2016</t>
  </si>
  <si>
    <t>2016/2017</t>
  </si>
  <si>
    <t>2018/2019</t>
  </si>
  <si>
    <t>2019/2020</t>
  </si>
  <si>
    <t>2020/2021</t>
  </si>
  <si>
    <t>2021/2022</t>
  </si>
  <si>
    <t>2022/2023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</si>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</sst>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,##0;[Red]#,##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sz val="12"/>
      <name val="Arial"/>
      <family val="2"/>
    </font>
    <font>
      <sz val="12"/>
      <name val="Calibri"/>
      <family val="2"/>
    </font>
    <font>
      <sz val="12"/>
      <name val="Times New Roman"/>
      <family val="1"/>
    </font>
    <font>
      <sz val="12"/>
      <name val="Cambria"/>
      <family val="2"/>
    </font>
    <font>
      <sz val="12"/>
      <name val="Calibri"/>
      <family val="2"/>
      <scheme val="minor"/>
    </font>
    <font>
      <sz val="12"/>
      <name val="Times New Roman"/>
      <family val="2"/>
    </font>
    <font>
      <sz val="12"/>
      <color rgb="FF211F1F"/>
      <name val="Times New Roman"/>
      <family val="2"/>
    </font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6.5"/>
      <color rgb="FF000000"/>
      <name val="Calibri"/>
      <family val="2"/>
    </font>
    <font>
      <b/>
      <sz val="6.5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1F1F"/>
      </left>
      <right style="thin">
        <color rgb="FF211F1F"/>
      </right>
      <top/>
      <bottom style="thin">
        <color rgb="FF211F1F"/>
      </bottom>
      <diagonal/>
    </border>
    <border>
      <left style="thin">
        <color rgb="FF211F1F"/>
      </left>
      <right style="thin">
        <color rgb="FF211F1F"/>
      </right>
      <top style="thin">
        <color rgb="FF211F1F"/>
      </top>
      <bottom style="thin">
        <color rgb="FF211F1F"/>
      </bottom>
      <diagonal/>
    </border>
    <border>
      <left style="thin">
        <color rgb="FFF4AF83"/>
      </left>
      <right style="thin">
        <color rgb="FFF4AF83"/>
      </right>
      <top style="thin">
        <color rgb="FFF4AF83"/>
      </top>
      <bottom style="thin">
        <color rgb="FFF4AF83"/>
      </bottom>
      <diagonal/>
    </border>
    <border>
      <left style="thin">
        <color rgb="FFD86DCB"/>
      </left>
      <right style="thin">
        <color rgb="FFD86DCB"/>
      </right>
      <top style="thin">
        <color rgb="FFD86DCB"/>
      </top>
      <bottom style="thin">
        <color rgb="FFD86DC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86DCB"/>
      </left>
      <right style="thin">
        <color rgb="FFA02B93"/>
      </right>
      <top style="thin">
        <color rgb="FFD86DCB"/>
      </top>
      <bottom style="thin">
        <color rgb="FFD86DCB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0" fillId="0" borderId="0"/>
  </cellStyleXfs>
  <cellXfs count="63">
    <xf numFmtId="0" fontId="0" fillId="0" borderId="0" xfId="0"/>
    <xf numFmtId="0" fontId="4" fillId="0" borderId="2" xfId="1" applyFont="1" applyBorder="1" applyAlignment="1">
      <alignment horizontal="center" vertical="top" wrapText="1"/>
    </xf>
    <xf numFmtId="3" fontId="4" fillId="0" borderId="2" xfId="1" applyNumberFormat="1" applyFont="1" applyBorder="1" applyAlignment="1">
      <alignment horizontal="center" vertical="top" shrinkToFit="1"/>
    </xf>
    <xf numFmtId="1" fontId="4" fillId="0" borderId="2" xfId="1" applyNumberFormat="1" applyFont="1" applyBorder="1" applyAlignment="1">
      <alignment horizontal="center" vertical="top" shrinkToFit="1"/>
    </xf>
    <xf numFmtId="1" fontId="8" fillId="0" borderId="6" xfId="1" applyNumberFormat="1" applyFont="1" applyBorder="1" applyAlignment="1">
      <alignment horizontal="center" vertical="top" shrinkToFit="1"/>
    </xf>
    <xf numFmtId="0" fontId="6" fillId="0" borderId="7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1" fontId="8" fillId="0" borderId="2" xfId="1" applyNumberFormat="1" applyFont="1" applyBorder="1" applyAlignment="1">
      <alignment horizontal="center" vertical="top" shrinkToFit="1"/>
    </xf>
    <xf numFmtId="3" fontId="8" fillId="0" borderId="2" xfId="1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 vertical="top" wrapText="1"/>
    </xf>
    <xf numFmtId="3" fontId="3" fillId="0" borderId="1" xfId="1" applyNumberFormat="1" applyFont="1" applyBorder="1" applyAlignment="1">
      <alignment horizontal="center" vertical="top" shrinkToFit="1"/>
    </xf>
    <xf numFmtId="1" fontId="3" fillId="0" borderId="1" xfId="1" applyNumberFormat="1" applyFont="1" applyBorder="1" applyAlignment="1">
      <alignment horizontal="center" vertical="top" shrinkToFit="1"/>
    </xf>
    <xf numFmtId="41" fontId="3" fillId="0" borderId="1" xfId="1" applyNumberFormat="1" applyFont="1" applyBorder="1" applyAlignment="1">
      <alignment horizontal="center" vertical="top" shrinkToFit="1"/>
    </xf>
    <xf numFmtId="0" fontId="3" fillId="0" borderId="2" xfId="1" applyFont="1" applyBorder="1" applyAlignment="1">
      <alignment horizontal="center" vertical="top" wrapText="1"/>
    </xf>
    <xf numFmtId="3" fontId="3" fillId="0" borderId="2" xfId="1" applyNumberFormat="1" applyFont="1" applyBorder="1" applyAlignment="1">
      <alignment horizontal="center" vertical="top" shrinkToFit="1"/>
    </xf>
    <xf numFmtId="3" fontId="7" fillId="0" borderId="0" xfId="0" applyNumberFormat="1" applyFont="1" applyAlignment="1">
      <alignment horizontal="center"/>
    </xf>
    <xf numFmtId="1" fontId="3" fillId="0" borderId="2" xfId="1" applyNumberFormat="1" applyFont="1" applyBorder="1" applyAlignment="1">
      <alignment horizontal="center" vertical="top" shrinkToFit="1"/>
    </xf>
    <xf numFmtId="43" fontId="7" fillId="0" borderId="0" xfId="0" applyNumberFormat="1" applyFont="1" applyAlignment="1">
      <alignment horizontal="center"/>
    </xf>
    <xf numFmtId="1" fontId="8" fillId="0" borderId="4" xfId="1" applyNumberFormat="1" applyFont="1" applyBorder="1" applyAlignment="1">
      <alignment horizontal="center" vertical="top" shrinkToFit="1"/>
    </xf>
    <xf numFmtId="3" fontId="8" fillId="0" borderId="4" xfId="1" applyNumberFormat="1" applyFont="1" applyBorder="1" applyAlignment="1">
      <alignment horizontal="center" vertical="top" shrinkToFit="1"/>
    </xf>
    <xf numFmtId="165" fontId="7" fillId="0" borderId="0" xfId="0" applyNumberFormat="1" applyFont="1" applyAlignment="1">
      <alignment horizontal="center"/>
    </xf>
    <xf numFmtId="1" fontId="8" fillId="0" borderId="5" xfId="1" applyNumberFormat="1" applyFont="1" applyBorder="1" applyAlignment="1">
      <alignment horizontal="center" vertical="top" shrinkToFit="1"/>
    </xf>
    <xf numFmtId="164" fontId="8" fillId="0" borderId="5" xfId="1" applyNumberFormat="1" applyFont="1" applyBorder="1" applyAlignment="1">
      <alignment horizontal="center" vertical="top" shrinkToFit="1"/>
    </xf>
    <xf numFmtId="1" fontId="9" fillId="2" borderId="5" xfId="1" applyNumberFormat="1" applyFont="1" applyFill="1" applyBorder="1" applyAlignment="1">
      <alignment horizontal="center" vertical="top" shrinkToFit="1"/>
    </xf>
    <xf numFmtId="1" fontId="9" fillId="2" borderId="4" xfId="1" applyNumberFormat="1" applyFont="1" applyFill="1" applyBorder="1" applyAlignment="1">
      <alignment horizontal="center" vertical="top" shrinkToFit="1"/>
    </xf>
    <xf numFmtId="0" fontId="5" fillId="0" borderId="2" xfId="1" applyFont="1" applyBorder="1" applyAlignment="1">
      <alignment horizontal="center" vertical="top" wrapText="1"/>
    </xf>
    <xf numFmtId="1" fontId="11" fillId="0" borderId="8" xfId="3" applyNumberFormat="1" applyFont="1" applyBorder="1" applyAlignment="1">
      <alignment horizontal="right" vertical="top" shrinkToFit="1"/>
    </xf>
    <xf numFmtId="3" fontId="11" fillId="3" borderId="8" xfId="3" applyNumberFormat="1" applyFont="1" applyFill="1" applyBorder="1" applyAlignment="1">
      <alignment horizontal="right" vertical="top" shrinkToFit="1"/>
    </xf>
    <xf numFmtId="3" fontId="11" fillId="0" borderId="8" xfId="3" applyNumberFormat="1" applyFont="1" applyBorder="1" applyAlignment="1">
      <alignment horizontal="right" vertical="top" shrinkToFit="1"/>
    </xf>
    <xf numFmtId="1" fontId="11" fillId="0" borderId="9" xfId="3" applyNumberFormat="1" applyFont="1" applyBorder="1" applyAlignment="1">
      <alignment horizontal="right" vertical="top" shrinkToFit="1"/>
    </xf>
    <xf numFmtId="1" fontId="11" fillId="3" borderId="8" xfId="3" applyNumberFormat="1" applyFont="1" applyFill="1" applyBorder="1" applyAlignment="1">
      <alignment horizontal="right" vertical="top" shrinkToFit="1"/>
    </xf>
    <xf numFmtId="0" fontId="3" fillId="2" borderId="1" xfId="1" applyFont="1" applyFill="1" applyBorder="1" applyAlignment="1">
      <alignment horizontal="center" vertical="top" wrapText="1"/>
    </xf>
    <xf numFmtId="0" fontId="3" fillId="2" borderId="0" xfId="1" applyFont="1" applyFill="1" applyBorder="1" applyAlignment="1">
      <alignment horizontal="center" vertical="top" wrapText="1"/>
    </xf>
    <xf numFmtId="1" fontId="12" fillId="2" borderId="1" xfId="3" applyNumberFormat="1" applyFont="1" applyFill="1" applyBorder="1" applyAlignment="1">
      <alignment horizontal="right" vertical="top" shrinkToFit="1"/>
    </xf>
    <xf numFmtId="1" fontId="12" fillId="2" borderId="2" xfId="3" applyNumberFormat="1" applyFont="1" applyFill="1" applyBorder="1" applyAlignment="1">
      <alignment horizontal="right" vertical="top" shrinkToFit="1"/>
    </xf>
    <xf numFmtId="3" fontId="12" fillId="2" borderId="2" xfId="3" applyNumberFormat="1" applyFont="1" applyFill="1" applyBorder="1" applyAlignment="1">
      <alignment horizontal="right" vertical="top" shrinkToFit="1"/>
    </xf>
    <xf numFmtId="3" fontId="13" fillId="2" borderId="0" xfId="0" applyNumberFormat="1" applyFont="1" applyFill="1" applyAlignment="1">
      <alignment horizontal="center"/>
    </xf>
    <xf numFmtId="0" fontId="1" fillId="0" borderId="3" xfId="1" applyBorder="1" applyAlignment="1">
      <alignment horizontal="left" wrapText="1"/>
    </xf>
    <xf numFmtId="1" fontId="14" fillId="0" borderId="10" xfId="1" applyNumberFormat="1" applyFont="1" applyBorder="1" applyAlignment="1">
      <alignment horizontal="left" vertical="top" shrinkToFit="1"/>
    </xf>
    <xf numFmtId="3" fontId="14" fillId="0" borderId="10" xfId="1" applyNumberFormat="1" applyFont="1" applyBorder="1" applyAlignment="1">
      <alignment horizontal="left" vertical="top" shrinkToFit="1"/>
    </xf>
    <xf numFmtId="1" fontId="14" fillId="0" borderId="10" xfId="1" applyNumberFormat="1" applyFont="1" applyBorder="1" applyAlignment="1">
      <alignment horizontal="center" vertical="top" shrinkToFit="1"/>
    </xf>
    <xf numFmtId="3" fontId="14" fillId="0" borderId="10" xfId="1" applyNumberFormat="1" applyFont="1" applyBorder="1" applyAlignment="1">
      <alignment horizontal="center" vertical="top" shrinkToFit="1"/>
    </xf>
    <xf numFmtId="3" fontId="14" fillId="0" borderId="1" xfId="1" applyNumberFormat="1" applyFont="1" applyBorder="1" applyAlignment="1">
      <alignment horizontal="left" vertical="top" shrinkToFit="1"/>
    </xf>
    <xf numFmtId="3" fontId="14" fillId="0" borderId="1" xfId="1" applyNumberFormat="1" applyFont="1" applyBorder="1" applyAlignment="1">
      <alignment horizontal="center" vertical="top" shrinkToFit="1"/>
    </xf>
    <xf numFmtId="3" fontId="15" fillId="0" borderId="2" xfId="1" applyNumberFormat="1" applyFont="1" applyBorder="1" applyAlignment="1">
      <alignment horizontal="left" vertical="center" shrinkToFit="1"/>
    </xf>
    <xf numFmtId="3" fontId="15" fillId="0" borderId="2" xfId="1" applyNumberFormat="1" applyFont="1" applyBorder="1" applyAlignment="1">
      <alignment horizontal="center" vertical="center" shrinkToFit="1"/>
    </xf>
    <xf numFmtId="1" fontId="12" fillId="0" borderId="10" xfId="1" applyNumberFormat="1" applyFont="1" applyBorder="1" applyAlignment="1">
      <alignment horizontal="left" vertical="top" shrinkToFit="1"/>
    </xf>
    <xf numFmtId="3" fontId="12" fillId="0" borderId="10" xfId="1" applyNumberFormat="1" applyFont="1" applyBorder="1" applyAlignment="1">
      <alignment horizontal="left" vertical="top" shrinkToFit="1"/>
    </xf>
    <xf numFmtId="1" fontId="12" fillId="0" borderId="10" xfId="1" applyNumberFormat="1" applyFont="1" applyBorder="1" applyAlignment="1">
      <alignment horizontal="center" vertical="top" shrinkToFit="1"/>
    </xf>
    <xf numFmtId="3" fontId="12" fillId="0" borderId="10" xfId="1" applyNumberFormat="1" applyFont="1" applyBorder="1" applyAlignment="1">
      <alignment horizontal="center" vertical="top" shrinkToFit="1"/>
    </xf>
    <xf numFmtId="3" fontId="12" fillId="0" borderId="1" xfId="1" applyNumberFormat="1" applyFont="1" applyBorder="1" applyAlignment="1">
      <alignment horizontal="left" vertical="top" shrinkToFit="1"/>
    </xf>
    <xf numFmtId="3" fontId="12" fillId="0" borderId="1" xfId="1" applyNumberFormat="1" applyFont="1" applyBorder="1" applyAlignment="1">
      <alignment horizontal="center" vertical="top" shrinkToFit="1"/>
    </xf>
    <xf numFmtId="1" fontId="12" fillId="2" borderId="2" xfId="1" applyNumberFormat="1" applyFont="1" applyFill="1" applyBorder="1" applyAlignment="1">
      <alignment horizontal="center" vertical="top" shrinkToFit="1"/>
    </xf>
    <xf numFmtId="3" fontId="12" fillId="2" borderId="2" xfId="1" applyNumberFormat="1" applyFont="1" applyFill="1" applyBorder="1" applyAlignment="1">
      <alignment horizontal="center" vertical="top" shrinkToFit="1"/>
    </xf>
    <xf numFmtId="1" fontId="12" fillId="2" borderId="2" xfId="1" applyNumberFormat="1" applyFont="1" applyFill="1" applyBorder="1" applyAlignment="1">
      <alignment horizontal="right" vertical="top" shrinkToFit="1"/>
    </xf>
    <xf numFmtId="3" fontId="12" fillId="2" borderId="2" xfId="1" applyNumberFormat="1" applyFont="1" applyFill="1" applyBorder="1" applyAlignment="1">
      <alignment horizontal="right" vertical="top" shrinkToFit="1"/>
    </xf>
    <xf numFmtId="1" fontId="12" fillId="2" borderId="2" xfId="1" applyNumberFormat="1" applyFont="1" applyFill="1" applyBorder="1" applyAlignment="1">
      <alignment horizontal="right" vertical="top" indent="1" shrinkToFit="1"/>
    </xf>
    <xf numFmtId="1" fontId="12" fillId="2" borderId="2" xfId="1" applyNumberFormat="1" applyFont="1" applyFill="1" applyBorder="1" applyAlignment="1">
      <alignment horizontal="left" vertical="top" indent="1" shrinkToFit="1"/>
    </xf>
    <xf numFmtId="1" fontId="12" fillId="2" borderId="6" xfId="1" applyNumberFormat="1" applyFont="1" applyFill="1" applyBorder="1" applyAlignment="1">
      <alignment horizontal="right" vertical="top" shrinkToFit="1"/>
    </xf>
    <xf numFmtId="0" fontId="3" fillId="2" borderId="7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/>
    </xf>
  </cellXfs>
  <cellStyles count="4">
    <cellStyle name="Normal" xfId="0" builtinId="0"/>
    <cellStyle name="Normal 2" xfId="1" xr:uid="{A233B100-5D08-47DC-9D09-EBB04A56A570}"/>
    <cellStyle name="Normal 3" xfId="2" xr:uid="{9CC62097-3767-457C-AD87-9585C8FFDF72}"/>
    <cellStyle name="Normal 4" xfId="3" xr:uid="{BF2AF762-52C4-4EC6-B2B4-0A4AE7DF8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5D6E-BAF4-4E44-8B12-DF96AF86117D}">
  <dimension ref="A1:AE208"/>
  <sheetViews>
    <sheetView tabSelected="1" topLeftCell="I1" zoomScale="104" workbookViewId="0">
      <selection activeCell="Q8" sqref="Q8"/>
    </sheetView>
  </sheetViews>
  <sheetFormatPr defaultRowHeight="14.5" x14ac:dyDescent="0.35"/>
  <cols>
    <col min="1" max="1" width="14.81640625" style="10" customWidth="1"/>
    <col min="2" max="17" width="8.7265625" style="10"/>
    <col min="18" max="19" width="14.81640625" style="10" customWidth="1"/>
    <col min="20" max="20" width="10.36328125" style="10" customWidth="1"/>
    <col min="21" max="22" width="0.1796875" style="10" customWidth="1"/>
    <col min="23" max="16384" width="8.7265625" style="10"/>
  </cols>
  <sheetData>
    <row r="1" spans="1:22" ht="62" x14ac:dyDescent="0.35">
      <c r="A1" s="9" t="s">
        <v>0</v>
      </c>
      <c r="B1" s="33" t="s">
        <v>58</v>
      </c>
      <c r="C1" s="34" t="s">
        <v>59</v>
      </c>
      <c r="D1" s="34" t="s">
        <v>60</v>
      </c>
      <c r="E1" s="34" t="s">
        <v>61</v>
      </c>
      <c r="F1" s="34" t="s">
        <v>62</v>
      </c>
      <c r="G1" s="34" t="s">
        <v>63</v>
      </c>
      <c r="H1" s="34" t="s">
        <v>64</v>
      </c>
      <c r="I1" s="34" t="s">
        <v>66</v>
      </c>
      <c r="J1" s="34" t="s">
        <v>67</v>
      </c>
      <c r="K1" s="34" t="s">
        <v>68</v>
      </c>
      <c r="L1" s="9" t="s">
        <v>69</v>
      </c>
      <c r="M1" s="9" t="s">
        <v>3</v>
      </c>
      <c r="N1" s="9" t="s">
        <v>4</v>
      </c>
      <c r="O1" s="9" t="s">
        <v>56</v>
      </c>
      <c r="P1" s="9" t="s">
        <v>55</v>
      </c>
      <c r="Q1" s="9" t="s">
        <v>1</v>
      </c>
      <c r="R1" s="9" t="s">
        <v>2</v>
      </c>
      <c r="S1" s="9" t="s">
        <v>57</v>
      </c>
    </row>
    <row r="2" spans="1:22" ht="31" x14ac:dyDescent="0.35">
      <c r="A2" s="11" t="s">
        <v>6</v>
      </c>
      <c r="B2" s="35">
        <v>6</v>
      </c>
      <c r="C2" s="35">
        <v>237</v>
      </c>
      <c r="D2" s="35">
        <v>158</v>
      </c>
      <c r="E2" s="35">
        <v>395</v>
      </c>
      <c r="F2" s="35">
        <v>346</v>
      </c>
      <c r="G2" s="35">
        <v>183</v>
      </c>
      <c r="H2" s="35">
        <v>529</v>
      </c>
      <c r="I2" s="35">
        <v>386</v>
      </c>
      <c r="J2" s="35">
        <v>131</v>
      </c>
      <c r="K2" s="35">
        <v>517</v>
      </c>
      <c r="L2" s="12">
        <v>1441</v>
      </c>
      <c r="M2" s="9">
        <f>1441-472</f>
        <v>969</v>
      </c>
      <c r="N2" s="13">
        <v>472</v>
      </c>
      <c r="O2" s="13">
        <v>67</v>
      </c>
      <c r="P2" s="14">
        <f t="shared" ref="P2:P65" si="0">N2/L2*100</f>
        <v>32.755031228313669</v>
      </c>
      <c r="Q2" s="9" t="s">
        <v>70</v>
      </c>
      <c r="R2" s="9">
        <f>33/67</f>
        <v>0.4925373134328358</v>
      </c>
      <c r="S2" s="9">
        <f t="shared" ref="S2:S24" si="1">ROUND(R2, 1)</f>
        <v>0.5</v>
      </c>
      <c r="T2" s="31"/>
      <c r="U2" s="31"/>
      <c r="V2" s="31"/>
    </row>
    <row r="3" spans="1:22" ht="15.5" x14ac:dyDescent="0.35">
      <c r="A3" s="15" t="s">
        <v>7</v>
      </c>
      <c r="B3" s="36">
        <v>17</v>
      </c>
      <c r="C3" s="37">
        <v>1000</v>
      </c>
      <c r="D3" s="37">
        <v>960</v>
      </c>
      <c r="E3" s="37">
        <v>1960</v>
      </c>
      <c r="F3" s="37">
        <v>1010</v>
      </c>
      <c r="G3" s="38">
        <v>1277</v>
      </c>
      <c r="H3" s="37">
        <v>2287</v>
      </c>
      <c r="I3" s="37">
        <v>707</v>
      </c>
      <c r="J3" s="37">
        <v>601</v>
      </c>
      <c r="K3" s="37">
        <v>1308</v>
      </c>
      <c r="L3" s="16">
        <v>5555</v>
      </c>
      <c r="M3" s="17">
        <f t="shared" ref="M3:M10" si="2">L3-N3</f>
        <v>2717</v>
      </c>
      <c r="N3" s="16">
        <v>2838</v>
      </c>
      <c r="O3" s="16">
        <f t="shared" ref="O3:O66" si="3">M3/L3*100</f>
        <v>48.910891089108908</v>
      </c>
      <c r="P3" s="14">
        <f t="shared" si="0"/>
        <v>51.089108910891092</v>
      </c>
      <c r="Q3" s="9" t="s">
        <v>70</v>
      </c>
      <c r="R3" s="9">
        <f>51/49</f>
        <v>1.0408163265306123</v>
      </c>
      <c r="S3" s="9">
        <f t="shared" si="1"/>
        <v>1</v>
      </c>
      <c r="T3" s="29"/>
      <c r="U3" s="29"/>
      <c r="V3" s="29"/>
    </row>
    <row r="4" spans="1:22" ht="15.5" x14ac:dyDescent="0.35">
      <c r="A4" s="15" t="s">
        <v>8</v>
      </c>
      <c r="B4" s="36">
        <v>9</v>
      </c>
      <c r="C4" s="36">
        <v>459</v>
      </c>
      <c r="D4" s="36">
        <v>341</v>
      </c>
      <c r="E4" s="36">
        <v>800</v>
      </c>
      <c r="F4" s="36">
        <v>499</v>
      </c>
      <c r="G4" s="37">
        <v>320</v>
      </c>
      <c r="H4" s="36">
        <v>819</v>
      </c>
      <c r="I4" s="36">
        <v>579</v>
      </c>
      <c r="J4" s="36">
        <v>347</v>
      </c>
      <c r="K4" s="36">
        <v>926</v>
      </c>
      <c r="L4" s="16">
        <v>2545</v>
      </c>
      <c r="M4" s="17">
        <f t="shared" si="2"/>
        <v>1537</v>
      </c>
      <c r="N4" s="16">
        <v>1008</v>
      </c>
      <c r="O4" s="16">
        <f t="shared" si="3"/>
        <v>60.392927308447938</v>
      </c>
      <c r="P4" s="14">
        <f t="shared" si="0"/>
        <v>39.607072691552062</v>
      </c>
      <c r="Q4" s="9" t="s">
        <v>70</v>
      </c>
      <c r="R4" s="9">
        <f>40/60</f>
        <v>0.66666666666666663</v>
      </c>
      <c r="S4" s="9">
        <f t="shared" si="1"/>
        <v>0.7</v>
      </c>
      <c r="T4" s="28"/>
      <c r="U4" s="28"/>
      <c r="V4" s="28"/>
    </row>
    <row r="5" spans="1:22" ht="15.5" x14ac:dyDescent="0.35">
      <c r="A5" s="15" t="s">
        <v>9</v>
      </c>
      <c r="B5" s="36">
        <v>15</v>
      </c>
      <c r="C5" s="37">
        <v>1368</v>
      </c>
      <c r="D5" s="37">
        <v>741</v>
      </c>
      <c r="E5" s="37">
        <v>2109</v>
      </c>
      <c r="F5" s="37">
        <v>1243</v>
      </c>
      <c r="G5" s="36">
        <v>669</v>
      </c>
      <c r="H5" s="37">
        <v>1912</v>
      </c>
      <c r="I5" s="37">
        <v>1225</v>
      </c>
      <c r="J5" s="37">
        <v>523</v>
      </c>
      <c r="K5" s="37">
        <v>1748</v>
      </c>
      <c r="L5" s="16">
        <v>5769</v>
      </c>
      <c r="M5" s="17">
        <f t="shared" si="2"/>
        <v>3836</v>
      </c>
      <c r="N5" s="16">
        <v>1933</v>
      </c>
      <c r="O5" s="16">
        <f t="shared" si="3"/>
        <v>66.493326399722648</v>
      </c>
      <c r="P5" s="14">
        <f t="shared" si="0"/>
        <v>33.506673600277345</v>
      </c>
      <c r="Q5" s="9" t="s">
        <v>70</v>
      </c>
      <c r="R5" s="9">
        <f>34/66</f>
        <v>0.51515151515151514</v>
      </c>
      <c r="S5" s="9">
        <f t="shared" si="1"/>
        <v>0.5</v>
      </c>
      <c r="T5" s="29"/>
      <c r="U5" s="29"/>
      <c r="V5" s="29"/>
    </row>
    <row r="6" spans="1:22" ht="15.5" x14ac:dyDescent="0.35">
      <c r="A6" s="15" t="s">
        <v>10</v>
      </c>
      <c r="B6" s="36">
        <v>12</v>
      </c>
      <c r="C6" s="36">
        <v>411</v>
      </c>
      <c r="D6" s="36">
        <v>143</v>
      </c>
      <c r="E6" s="36">
        <v>554</v>
      </c>
      <c r="F6" s="36">
        <v>549</v>
      </c>
      <c r="G6" s="37">
        <v>149</v>
      </c>
      <c r="H6" s="36">
        <v>698</v>
      </c>
      <c r="I6" s="36">
        <v>642</v>
      </c>
      <c r="J6" s="36">
        <v>135</v>
      </c>
      <c r="K6" s="36">
        <v>777</v>
      </c>
      <c r="L6" s="16">
        <v>2029</v>
      </c>
      <c r="M6" s="17">
        <f t="shared" si="2"/>
        <v>1602</v>
      </c>
      <c r="N6" s="18">
        <v>427</v>
      </c>
      <c r="O6" s="16">
        <f t="shared" si="3"/>
        <v>78.955150320354846</v>
      </c>
      <c r="P6" s="14">
        <f t="shared" si="0"/>
        <v>21.044849679645143</v>
      </c>
      <c r="Q6" s="9" t="s">
        <v>70</v>
      </c>
      <c r="R6" s="9">
        <f>21/79</f>
        <v>0.26582278481012656</v>
      </c>
      <c r="S6" s="9">
        <f t="shared" si="1"/>
        <v>0.3</v>
      </c>
      <c r="T6" s="28"/>
      <c r="U6" s="28"/>
      <c r="V6" s="28"/>
    </row>
    <row r="7" spans="1:22" ht="15.5" x14ac:dyDescent="0.35">
      <c r="A7" s="15" t="s">
        <v>11</v>
      </c>
      <c r="B7" s="36">
        <v>14</v>
      </c>
      <c r="C7" s="36">
        <v>443</v>
      </c>
      <c r="D7" s="36">
        <v>404</v>
      </c>
      <c r="E7" s="36">
        <v>847</v>
      </c>
      <c r="F7" s="36">
        <v>583</v>
      </c>
      <c r="G7" s="36">
        <v>458</v>
      </c>
      <c r="H7" s="37">
        <v>1041</v>
      </c>
      <c r="I7" s="36">
        <v>543</v>
      </c>
      <c r="J7" s="36">
        <v>455</v>
      </c>
      <c r="K7" s="36">
        <v>998</v>
      </c>
      <c r="L7" s="16">
        <v>2886</v>
      </c>
      <c r="M7" s="17">
        <f t="shared" si="2"/>
        <v>1569</v>
      </c>
      <c r="N7" s="16">
        <v>1317</v>
      </c>
      <c r="O7" s="16">
        <f t="shared" si="3"/>
        <v>54.365904365904363</v>
      </c>
      <c r="P7" s="14">
        <f t="shared" si="0"/>
        <v>45.634095634095637</v>
      </c>
      <c r="Q7" s="9" t="s">
        <v>70</v>
      </c>
      <c r="R7" s="9">
        <f>46/54</f>
        <v>0.85185185185185186</v>
      </c>
      <c r="S7" s="9">
        <f t="shared" si="1"/>
        <v>0.9</v>
      </c>
      <c r="T7" s="32"/>
      <c r="U7" s="32"/>
      <c r="V7" s="32"/>
    </row>
    <row r="8" spans="1:22" ht="15.5" x14ac:dyDescent="0.35">
      <c r="A8" s="15" t="s">
        <v>12</v>
      </c>
      <c r="B8" s="36">
        <v>10</v>
      </c>
      <c r="C8" s="36">
        <v>657</v>
      </c>
      <c r="D8" s="36">
        <v>467</v>
      </c>
      <c r="E8" s="36">
        <v>1124</v>
      </c>
      <c r="F8" s="36">
        <v>684</v>
      </c>
      <c r="G8" s="36">
        <v>546</v>
      </c>
      <c r="H8" s="37">
        <v>1230</v>
      </c>
      <c r="I8" s="36">
        <v>846</v>
      </c>
      <c r="J8" s="36">
        <v>615</v>
      </c>
      <c r="K8" s="37">
        <v>1461</v>
      </c>
      <c r="L8" s="16">
        <v>3815</v>
      </c>
      <c r="M8" s="17">
        <f t="shared" si="2"/>
        <v>2187</v>
      </c>
      <c r="N8" s="16">
        <v>1628</v>
      </c>
      <c r="O8" s="16">
        <f t="shared" si="3"/>
        <v>57.326343381389258</v>
      </c>
      <c r="P8" s="14">
        <f t="shared" si="0"/>
        <v>42.673656618610742</v>
      </c>
      <c r="Q8" s="9" t="s">
        <v>70</v>
      </c>
      <c r="R8" s="9">
        <f>43/57</f>
        <v>0.75438596491228072</v>
      </c>
      <c r="S8" s="9">
        <f t="shared" si="1"/>
        <v>0.8</v>
      </c>
      <c r="T8" s="28"/>
      <c r="U8" s="28"/>
      <c r="V8" s="28"/>
    </row>
    <row r="9" spans="1:22" ht="15.5" x14ac:dyDescent="0.35">
      <c r="A9" s="15" t="s">
        <v>13</v>
      </c>
      <c r="B9" s="36">
        <v>25</v>
      </c>
      <c r="C9" s="36">
        <v>943</v>
      </c>
      <c r="D9" s="36">
        <v>897</v>
      </c>
      <c r="E9" s="36">
        <v>1840</v>
      </c>
      <c r="F9" s="36">
        <v>1092</v>
      </c>
      <c r="G9" s="36">
        <v>931</v>
      </c>
      <c r="H9" s="38">
        <v>2023</v>
      </c>
      <c r="I9" s="38">
        <v>716</v>
      </c>
      <c r="J9" s="38">
        <v>553</v>
      </c>
      <c r="K9" s="38">
        <v>1269</v>
      </c>
      <c r="L9" s="16">
        <v>5132</v>
      </c>
      <c r="M9" s="17">
        <f t="shared" si="2"/>
        <v>2751</v>
      </c>
      <c r="N9" s="16">
        <v>2381</v>
      </c>
      <c r="O9" s="16">
        <f t="shared" si="3"/>
        <v>53.604832424006233</v>
      </c>
      <c r="P9" s="14">
        <f t="shared" si="0"/>
        <v>46.39516757599376</v>
      </c>
      <c r="Q9" s="9" t="s">
        <v>70</v>
      </c>
      <c r="R9" s="9">
        <f>46/54</f>
        <v>0.85185185185185186</v>
      </c>
      <c r="S9" s="9">
        <f t="shared" si="1"/>
        <v>0.9</v>
      </c>
      <c r="T9" s="32"/>
      <c r="U9" s="32"/>
      <c r="V9" s="32"/>
    </row>
    <row r="10" spans="1:22" ht="31" x14ac:dyDescent="0.35">
      <c r="A10" s="15" t="s">
        <v>14</v>
      </c>
      <c r="B10" s="36">
        <v>14</v>
      </c>
      <c r="C10" s="37">
        <v>1169</v>
      </c>
      <c r="D10" s="37">
        <v>1829</v>
      </c>
      <c r="E10" s="37">
        <v>2998</v>
      </c>
      <c r="F10" s="37">
        <v>1159</v>
      </c>
      <c r="G10" s="37">
        <v>1646</v>
      </c>
      <c r="H10" s="37">
        <v>2805</v>
      </c>
      <c r="I10" s="36">
        <v>837</v>
      </c>
      <c r="J10" s="37">
        <v>1200</v>
      </c>
      <c r="K10" s="37">
        <v>2037</v>
      </c>
      <c r="L10" s="16">
        <v>7840</v>
      </c>
      <c r="M10" s="17">
        <f t="shared" si="2"/>
        <v>3165</v>
      </c>
      <c r="N10" s="16">
        <v>4675</v>
      </c>
      <c r="O10" s="16">
        <f t="shared" si="3"/>
        <v>40.369897959183675</v>
      </c>
      <c r="P10" s="14">
        <f t="shared" si="0"/>
        <v>59.630102040816325</v>
      </c>
      <c r="Q10" s="9" t="s">
        <v>70</v>
      </c>
      <c r="R10" s="9">
        <f>60/40</f>
        <v>1.5</v>
      </c>
      <c r="S10" s="9">
        <f t="shared" si="1"/>
        <v>1.5</v>
      </c>
      <c r="T10" s="30"/>
      <c r="U10" s="30"/>
      <c r="V10" s="30"/>
    </row>
    <row r="11" spans="1:22" ht="31" x14ac:dyDescent="0.35">
      <c r="A11" s="15" t="s">
        <v>15</v>
      </c>
      <c r="B11" s="36">
        <v>12</v>
      </c>
      <c r="C11" s="36">
        <v>756</v>
      </c>
      <c r="D11" s="37">
        <v>1685</v>
      </c>
      <c r="E11" s="37">
        <v>2441</v>
      </c>
      <c r="F11" s="36">
        <v>814</v>
      </c>
      <c r="G11" s="37">
        <v>1823</v>
      </c>
      <c r="H11" s="37">
        <v>2637</v>
      </c>
      <c r="I11" s="37">
        <v>478</v>
      </c>
      <c r="J11" s="37">
        <v>1504</v>
      </c>
      <c r="K11" s="37">
        <v>1982</v>
      </c>
      <c r="L11" s="16">
        <v>7060</v>
      </c>
      <c r="M11" s="17">
        <f>L9-N9</f>
        <v>2751</v>
      </c>
      <c r="N11" s="16">
        <v>5012</v>
      </c>
      <c r="O11" s="16">
        <f t="shared" si="3"/>
        <v>38.966005665722378</v>
      </c>
      <c r="P11" s="14">
        <f t="shared" si="0"/>
        <v>70.991501416430594</v>
      </c>
      <c r="Q11" s="9" t="s">
        <v>70</v>
      </c>
      <c r="R11" s="9">
        <f>71/39</f>
        <v>1.8205128205128205</v>
      </c>
      <c r="S11" s="9">
        <f t="shared" si="1"/>
        <v>1.8</v>
      </c>
      <c r="T11" s="32"/>
      <c r="U11" s="32"/>
      <c r="V11" s="32"/>
    </row>
    <row r="12" spans="1:22" ht="15.5" x14ac:dyDescent="0.35">
      <c r="A12" s="15" t="s">
        <v>16</v>
      </c>
      <c r="B12" s="36">
        <v>18</v>
      </c>
      <c r="C12" s="36">
        <v>907</v>
      </c>
      <c r="D12" s="36">
        <v>690</v>
      </c>
      <c r="E12" s="36">
        <v>1597</v>
      </c>
      <c r="F12" s="36">
        <v>1003</v>
      </c>
      <c r="G12" s="36">
        <v>773</v>
      </c>
      <c r="H12" s="37">
        <v>1776</v>
      </c>
      <c r="I12" s="37">
        <v>1196</v>
      </c>
      <c r="J12" s="36">
        <v>939</v>
      </c>
      <c r="K12" s="37">
        <v>2135</v>
      </c>
      <c r="L12" s="16">
        <v>5508</v>
      </c>
      <c r="M12" s="17">
        <f>L10-N10</f>
        <v>3165</v>
      </c>
      <c r="N12" s="16">
        <v>2402</v>
      </c>
      <c r="O12" s="16">
        <f t="shared" si="3"/>
        <v>57.46187363834423</v>
      </c>
      <c r="P12" s="14">
        <f t="shared" si="0"/>
        <v>43.60929557007988</v>
      </c>
      <c r="Q12" s="9" t="s">
        <v>70</v>
      </c>
      <c r="R12" s="9">
        <f>44/57</f>
        <v>0.77192982456140347</v>
      </c>
      <c r="S12" s="9">
        <f t="shared" si="1"/>
        <v>0.8</v>
      </c>
      <c r="T12" s="28"/>
      <c r="U12" s="28"/>
      <c r="V12" s="28"/>
    </row>
    <row r="13" spans="1:22" ht="15.5" x14ac:dyDescent="0.35">
      <c r="A13" s="15" t="s">
        <v>17</v>
      </c>
      <c r="B13" s="36">
        <v>10</v>
      </c>
      <c r="C13" s="36">
        <v>420</v>
      </c>
      <c r="D13" s="36">
        <v>200</v>
      </c>
      <c r="E13" s="36">
        <v>620</v>
      </c>
      <c r="F13" s="36">
        <v>517</v>
      </c>
      <c r="G13" s="36">
        <v>351</v>
      </c>
      <c r="H13" s="36">
        <v>868</v>
      </c>
      <c r="I13" s="36">
        <v>473</v>
      </c>
      <c r="J13" s="36">
        <v>300</v>
      </c>
      <c r="K13" s="36">
        <v>773</v>
      </c>
      <c r="L13" s="16">
        <v>2261</v>
      </c>
      <c r="M13" s="17">
        <f>L13-N13</f>
        <v>1410</v>
      </c>
      <c r="N13" s="18">
        <v>851</v>
      </c>
      <c r="O13" s="16">
        <f t="shared" si="3"/>
        <v>62.361786819991153</v>
      </c>
      <c r="P13" s="14">
        <f t="shared" si="0"/>
        <v>37.638213180008847</v>
      </c>
      <c r="Q13" s="9" t="s">
        <v>70</v>
      </c>
      <c r="R13" s="9">
        <f>38/62</f>
        <v>0.61290322580645162</v>
      </c>
      <c r="S13" s="9">
        <f t="shared" si="1"/>
        <v>0.6</v>
      </c>
      <c r="T13" s="32"/>
      <c r="U13" s="32"/>
      <c r="V13" s="32"/>
    </row>
    <row r="14" spans="1:22" ht="15.5" x14ac:dyDescent="0.35">
      <c r="A14" s="15" t="s">
        <v>18</v>
      </c>
      <c r="B14" s="36">
        <v>11</v>
      </c>
      <c r="C14" s="36">
        <v>628</v>
      </c>
      <c r="D14" s="36">
        <v>744</v>
      </c>
      <c r="E14" s="37">
        <v>1372</v>
      </c>
      <c r="F14" s="36">
        <v>881</v>
      </c>
      <c r="G14" s="36">
        <v>664</v>
      </c>
      <c r="H14" s="37">
        <v>1545</v>
      </c>
      <c r="I14" s="36">
        <v>790</v>
      </c>
      <c r="J14" s="36">
        <v>733</v>
      </c>
      <c r="K14" s="37">
        <v>1523</v>
      </c>
      <c r="L14" s="16">
        <v>4440</v>
      </c>
      <c r="M14" s="17">
        <f>L14-N14</f>
        <v>2299</v>
      </c>
      <c r="N14" s="16">
        <v>2141</v>
      </c>
      <c r="O14" s="16">
        <f t="shared" si="3"/>
        <v>51.77927927927928</v>
      </c>
      <c r="P14" s="14">
        <f t="shared" si="0"/>
        <v>48.22072072072072</v>
      </c>
      <c r="Q14" s="9" t="s">
        <v>70</v>
      </c>
      <c r="R14" s="9">
        <f>48/52</f>
        <v>0.92307692307692313</v>
      </c>
      <c r="S14" s="9">
        <f t="shared" si="1"/>
        <v>0.9</v>
      </c>
      <c r="T14" s="28"/>
      <c r="U14" s="28"/>
      <c r="V14" s="28"/>
    </row>
    <row r="15" spans="1:22" ht="15.5" x14ac:dyDescent="0.35">
      <c r="A15" s="15" t="s">
        <v>19</v>
      </c>
      <c r="B15" s="36">
        <v>12</v>
      </c>
      <c r="C15" s="36">
        <v>585</v>
      </c>
      <c r="D15" s="36">
        <v>288</v>
      </c>
      <c r="E15" s="36">
        <v>873</v>
      </c>
      <c r="F15" s="36">
        <v>672</v>
      </c>
      <c r="G15" s="36">
        <v>32</v>
      </c>
      <c r="H15" s="36">
        <v>995</v>
      </c>
      <c r="I15" s="36">
        <v>618</v>
      </c>
      <c r="J15" s="36">
        <v>316</v>
      </c>
      <c r="K15" s="36">
        <v>934</v>
      </c>
      <c r="L15" s="16">
        <v>2802</v>
      </c>
      <c r="M15" s="17">
        <f>L13-N13</f>
        <v>1410</v>
      </c>
      <c r="N15" s="18">
        <v>927</v>
      </c>
      <c r="O15" s="16">
        <f t="shared" si="3"/>
        <v>50.321199143468952</v>
      </c>
      <c r="P15" s="14">
        <f t="shared" si="0"/>
        <v>33.083511777301929</v>
      </c>
      <c r="Q15" s="9" t="s">
        <v>70</v>
      </c>
      <c r="R15" s="9">
        <f>33/50</f>
        <v>0.66</v>
      </c>
      <c r="S15" s="9">
        <f t="shared" si="1"/>
        <v>0.7</v>
      </c>
      <c r="T15" s="32"/>
      <c r="U15" s="32"/>
      <c r="V15" s="32"/>
    </row>
    <row r="16" spans="1:22" ht="15.5" x14ac:dyDescent="0.35">
      <c r="A16" s="15" t="s">
        <v>20</v>
      </c>
      <c r="B16" s="36">
        <v>10</v>
      </c>
      <c r="C16" s="36">
        <v>659</v>
      </c>
      <c r="D16" s="36">
        <v>394</v>
      </c>
      <c r="E16" s="37">
        <v>1053</v>
      </c>
      <c r="F16" s="36">
        <v>756</v>
      </c>
      <c r="G16" s="36">
        <v>326</v>
      </c>
      <c r="H16" s="37">
        <v>1082</v>
      </c>
      <c r="I16" s="36">
        <v>704</v>
      </c>
      <c r="J16" s="36">
        <v>279</v>
      </c>
      <c r="K16" s="36">
        <v>983</v>
      </c>
      <c r="L16" s="16">
        <v>3118</v>
      </c>
      <c r="M16" s="17">
        <f>L14-N14</f>
        <v>2299</v>
      </c>
      <c r="N16" s="18">
        <v>999</v>
      </c>
      <c r="O16" s="16">
        <f t="shared" si="3"/>
        <v>73.733162283515071</v>
      </c>
      <c r="P16" s="14">
        <f t="shared" si="0"/>
        <v>32.039769082745352</v>
      </c>
      <c r="Q16" s="9" t="s">
        <v>70</v>
      </c>
      <c r="R16" s="9">
        <f>32/74</f>
        <v>0.43243243243243246</v>
      </c>
      <c r="S16" s="9">
        <f t="shared" si="1"/>
        <v>0.4</v>
      </c>
      <c r="T16" s="28"/>
      <c r="U16" s="28"/>
      <c r="V16" s="28"/>
    </row>
    <row r="17" spans="1:22" ht="15.5" x14ac:dyDescent="0.35">
      <c r="A17" s="15" t="s">
        <v>21</v>
      </c>
      <c r="B17" s="36">
        <v>4</v>
      </c>
      <c r="C17" s="36">
        <v>286</v>
      </c>
      <c r="D17" s="36">
        <v>107</v>
      </c>
      <c r="E17" s="36">
        <v>393</v>
      </c>
      <c r="F17" s="36">
        <v>408</v>
      </c>
      <c r="G17" s="36">
        <v>86</v>
      </c>
      <c r="H17" s="36">
        <v>494</v>
      </c>
      <c r="I17" s="36">
        <v>523</v>
      </c>
      <c r="J17" s="36">
        <v>132</v>
      </c>
      <c r="K17" s="36">
        <v>655</v>
      </c>
      <c r="L17" s="16">
        <v>1542</v>
      </c>
      <c r="M17" s="17">
        <f t="shared" ref="M17:M24" si="4">L17-N17</f>
        <v>1217</v>
      </c>
      <c r="N17" s="18">
        <v>325</v>
      </c>
      <c r="O17" s="16">
        <f t="shared" si="3"/>
        <v>78.923476005188064</v>
      </c>
      <c r="P17" s="14">
        <f t="shared" si="0"/>
        <v>21.076523994811932</v>
      </c>
      <c r="Q17" s="9" t="s">
        <v>70</v>
      </c>
      <c r="R17" s="9">
        <f>21/79</f>
        <v>0.26582278481012656</v>
      </c>
      <c r="S17" s="9">
        <f t="shared" si="1"/>
        <v>0.3</v>
      </c>
      <c r="T17" s="32"/>
      <c r="U17" s="32"/>
      <c r="V17" s="32"/>
    </row>
    <row r="18" spans="1:22" ht="15.5" x14ac:dyDescent="0.35">
      <c r="A18" s="15" t="s">
        <v>22</v>
      </c>
      <c r="B18" s="36">
        <v>15</v>
      </c>
      <c r="C18" s="36">
        <v>936</v>
      </c>
      <c r="D18" s="36">
        <v>535</v>
      </c>
      <c r="E18" s="37">
        <v>1471</v>
      </c>
      <c r="F18" s="36">
        <v>936</v>
      </c>
      <c r="G18" s="36">
        <v>650</v>
      </c>
      <c r="H18" s="37">
        <v>1586</v>
      </c>
      <c r="I18" s="36">
        <v>655</v>
      </c>
      <c r="J18" s="36">
        <v>398</v>
      </c>
      <c r="K18" s="37">
        <v>1053</v>
      </c>
      <c r="L18" s="16">
        <v>4110</v>
      </c>
      <c r="M18" s="17">
        <f t="shared" si="4"/>
        <v>2527</v>
      </c>
      <c r="N18" s="16">
        <v>1583</v>
      </c>
      <c r="O18" s="16">
        <f t="shared" si="3"/>
        <v>61.484184914841848</v>
      </c>
      <c r="P18" s="14">
        <f t="shared" si="0"/>
        <v>38.515815085158152</v>
      </c>
      <c r="Q18" s="9" t="s">
        <v>70</v>
      </c>
      <c r="R18" s="9">
        <f>39/61</f>
        <v>0.63934426229508201</v>
      </c>
      <c r="S18" s="9">
        <f t="shared" si="1"/>
        <v>0.6</v>
      </c>
      <c r="T18" s="28"/>
      <c r="U18" s="28"/>
      <c r="V18" s="28"/>
    </row>
    <row r="19" spans="1:22" ht="15.5" x14ac:dyDescent="0.35">
      <c r="A19" s="15" t="s">
        <v>23</v>
      </c>
      <c r="B19" s="36">
        <v>7</v>
      </c>
      <c r="C19" s="36">
        <v>624</v>
      </c>
      <c r="D19" s="36">
        <v>123</v>
      </c>
      <c r="E19" s="36">
        <v>747</v>
      </c>
      <c r="F19" s="36">
        <v>617</v>
      </c>
      <c r="G19" s="36">
        <v>117</v>
      </c>
      <c r="H19" s="36">
        <v>734</v>
      </c>
      <c r="I19" s="36">
        <v>713</v>
      </c>
      <c r="J19" s="36">
        <v>166</v>
      </c>
      <c r="K19" s="36">
        <v>879</v>
      </c>
      <c r="L19" s="16">
        <v>2360</v>
      </c>
      <c r="M19" s="17">
        <f t="shared" si="4"/>
        <v>1954</v>
      </c>
      <c r="N19" s="18">
        <v>406</v>
      </c>
      <c r="O19" s="16">
        <f t="shared" si="3"/>
        <v>82.79661016949153</v>
      </c>
      <c r="P19" s="14">
        <f t="shared" si="0"/>
        <v>17.203389830508474</v>
      </c>
      <c r="Q19" s="9" t="s">
        <v>70</v>
      </c>
      <c r="R19" s="9">
        <f>17/83</f>
        <v>0.20481927710843373</v>
      </c>
      <c r="S19" s="9">
        <f t="shared" si="1"/>
        <v>0.2</v>
      </c>
      <c r="T19" s="32"/>
      <c r="U19" s="32"/>
      <c r="V19" s="32"/>
    </row>
    <row r="20" spans="1:22" ht="15.5" x14ac:dyDescent="0.35">
      <c r="A20" s="15" t="s">
        <v>24</v>
      </c>
      <c r="B20" s="36">
        <v>11</v>
      </c>
      <c r="C20" s="37">
        <v>1135</v>
      </c>
      <c r="D20" s="37">
        <v>1076</v>
      </c>
      <c r="E20" s="37">
        <v>2211</v>
      </c>
      <c r="F20" s="37" t="s">
        <v>65</v>
      </c>
      <c r="G20" s="37">
        <v>1250</v>
      </c>
      <c r="H20" s="37">
        <v>2400</v>
      </c>
      <c r="I20" s="37">
        <v>1022</v>
      </c>
      <c r="J20" s="37">
        <v>1107</v>
      </c>
      <c r="K20" s="37">
        <v>2129</v>
      </c>
      <c r="L20" s="16">
        <v>6740</v>
      </c>
      <c r="M20" s="17">
        <f t="shared" si="4"/>
        <v>3307</v>
      </c>
      <c r="N20" s="16">
        <v>3433</v>
      </c>
      <c r="O20" s="16">
        <f t="shared" si="3"/>
        <v>49.065281899109792</v>
      </c>
      <c r="P20" s="14">
        <f t="shared" si="0"/>
        <v>50.934718100890208</v>
      </c>
      <c r="Q20" s="9" t="s">
        <v>70</v>
      </c>
      <c r="R20" s="9">
        <f>51/49</f>
        <v>1.0408163265306123</v>
      </c>
      <c r="S20" s="9">
        <f t="shared" si="1"/>
        <v>1</v>
      </c>
      <c r="T20" s="30"/>
      <c r="U20" s="30"/>
      <c r="V20" s="30"/>
    </row>
    <row r="21" spans="1:22" ht="15.5" x14ac:dyDescent="0.35">
      <c r="A21" s="15" t="s">
        <v>25</v>
      </c>
      <c r="B21" s="36">
        <v>14</v>
      </c>
      <c r="C21" s="36">
        <v>792</v>
      </c>
      <c r="D21" s="36">
        <v>637</v>
      </c>
      <c r="E21" s="37">
        <v>1429</v>
      </c>
      <c r="F21" s="36">
        <v>877</v>
      </c>
      <c r="G21" s="37">
        <v>699</v>
      </c>
      <c r="H21" s="37">
        <v>1576</v>
      </c>
      <c r="I21" s="37">
        <v>947</v>
      </c>
      <c r="J21" s="37">
        <v>686</v>
      </c>
      <c r="K21" s="37">
        <v>1633</v>
      </c>
      <c r="L21" s="16">
        <v>4638</v>
      </c>
      <c r="M21" s="17">
        <f t="shared" si="4"/>
        <v>2616</v>
      </c>
      <c r="N21" s="16">
        <v>2022</v>
      </c>
      <c r="O21" s="16">
        <f t="shared" si="3"/>
        <v>56.403622250970244</v>
      </c>
      <c r="P21" s="14">
        <f t="shared" si="0"/>
        <v>43.596377749029749</v>
      </c>
      <c r="Q21" s="9" t="s">
        <v>70</v>
      </c>
      <c r="R21" s="19">
        <f>P21/O21</f>
        <v>0.77293577981651373</v>
      </c>
      <c r="S21" s="9">
        <f t="shared" si="1"/>
        <v>0.8</v>
      </c>
      <c r="T21" s="32"/>
      <c r="U21" s="32"/>
      <c r="V21" s="32"/>
    </row>
    <row r="22" spans="1:22" ht="15.5" x14ac:dyDescent="0.35">
      <c r="A22" s="15" t="s">
        <v>26</v>
      </c>
      <c r="B22" s="36">
        <v>8</v>
      </c>
      <c r="C22" s="36">
        <v>349</v>
      </c>
      <c r="D22" s="36">
        <v>122</v>
      </c>
      <c r="E22" s="36">
        <v>471</v>
      </c>
      <c r="F22" s="36">
        <v>496</v>
      </c>
      <c r="G22" s="36">
        <v>74</v>
      </c>
      <c r="H22" s="36">
        <v>570</v>
      </c>
      <c r="I22" s="36">
        <v>44</v>
      </c>
      <c r="J22" s="36">
        <v>90</v>
      </c>
      <c r="K22" s="36">
        <v>504</v>
      </c>
      <c r="L22" s="16">
        <v>1545</v>
      </c>
      <c r="M22" s="17">
        <f t="shared" si="4"/>
        <v>1259</v>
      </c>
      <c r="N22" s="18">
        <v>286</v>
      </c>
      <c r="O22" s="16">
        <f t="shared" si="3"/>
        <v>81.488673139158578</v>
      </c>
      <c r="P22" s="14">
        <f t="shared" si="0"/>
        <v>18.511326860841422</v>
      </c>
      <c r="Q22" s="9" t="s">
        <v>70</v>
      </c>
      <c r="R22" s="19">
        <f t="shared" ref="R22:R24" si="5">P22/O22</f>
        <v>0.22716441620333594</v>
      </c>
      <c r="S22" s="9">
        <f t="shared" si="1"/>
        <v>0.2</v>
      </c>
      <c r="T22" s="28"/>
      <c r="U22" s="28"/>
      <c r="V22" s="28"/>
    </row>
    <row r="23" spans="1:22" ht="31" x14ac:dyDescent="0.35">
      <c r="A23" s="15" t="s">
        <v>27</v>
      </c>
      <c r="B23" s="36">
        <v>40</v>
      </c>
      <c r="C23" s="37">
        <v>1025</v>
      </c>
      <c r="D23" s="37">
        <v>1031</v>
      </c>
      <c r="E23" s="37">
        <v>2056</v>
      </c>
      <c r="F23" s="37">
        <v>1191</v>
      </c>
      <c r="G23" s="37">
        <v>1068</v>
      </c>
      <c r="H23" s="37">
        <v>2259</v>
      </c>
      <c r="I23" s="36">
        <v>927</v>
      </c>
      <c r="J23" s="36">
        <v>811</v>
      </c>
      <c r="K23" s="37">
        <v>1738</v>
      </c>
      <c r="L23" s="16">
        <v>6053</v>
      </c>
      <c r="M23" s="17">
        <f t="shared" si="4"/>
        <v>3143</v>
      </c>
      <c r="N23" s="16">
        <v>2910</v>
      </c>
      <c r="O23" s="16">
        <f t="shared" si="3"/>
        <v>51.924665455146211</v>
      </c>
      <c r="P23" s="14">
        <f t="shared" si="0"/>
        <v>48.075334544853796</v>
      </c>
      <c r="Q23" s="9" t="s">
        <v>70</v>
      </c>
      <c r="R23" s="19">
        <f t="shared" si="5"/>
        <v>0.9258670060451798</v>
      </c>
      <c r="S23" s="9">
        <f t="shared" si="1"/>
        <v>0.9</v>
      </c>
      <c r="T23" s="29"/>
      <c r="U23" s="29"/>
      <c r="V23" s="29"/>
    </row>
    <row r="24" spans="1:22" ht="15.5" x14ac:dyDescent="0.35">
      <c r="A24" s="15" t="s">
        <v>28</v>
      </c>
      <c r="B24" s="36">
        <v>15</v>
      </c>
      <c r="C24" s="37">
        <v>1990</v>
      </c>
      <c r="D24" s="37">
        <v>1272</v>
      </c>
      <c r="E24" s="37">
        <v>3262</v>
      </c>
      <c r="F24" s="37">
        <v>2102</v>
      </c>
      <c r="G24" s="37">
        <v>1449</v>
      </c>
      <c r="H24" s="37">
        <v>3551</v>
      </c>
      <c r="I24" s="37">
        <v>2063</v>
      </c>
      <c r="J24" s="37">
        <v>1118</v>
      </c>
      <c r="K24" s="37">
        <v>3181</v>
      </c>
      <c r="L24" s="16">
        <v>9994</v>
      </c>
      <c r="M24" s="17">
        <f t="shared" si="4"/>
        <v>6155</v>
      </c>
      <c r="N24" s="16">
        <v>3839</v>
      </c>
      <c r="O24" s="16">
        <f t="shared" si="3"/>
        <v>61.586952171302777</v>
      </c>
      <c r="P24" s="14">
        <f t="shared" si="0"/>
        <v>38.413047828697216</v>
      </c>
      <c r="Q24" s="9" t="s">
        <v>70</v>
      </c>
      <c r="R24" s="19">
        <f t="shared" si="5"/>
        <v>0.62372055239642565</v>
      </c>
      <c r="S24" s="9">
        <f t="shared" si="1"/>
        <v>0.6</v>
      </c>
      <c r="T24" s="30"/>
      <c r="U24" s="30"/>
      <c r="V24" s="30"/>
    </row>
    <row r="25" spans="1:22" ht="31" x14ac:dyDescent="0.35">
      <c r="A25" s="11" t="s">
        <v>6</v>
      </c>
      <c r="B25" s="20">
        <v>7</v>
      </c>
      <c r="C25" s="20">
        <v>105</v>
      </c>
      <c r="D25" s="20">
        <v>69</v>
      </c>
      <c r="E25" s="20">
        <f>SUM(C25:D25)</f>
        <v>174</v>
      </c>
      <c r="F25" s="20">
        <v>116</v>
      </c>
      <c r="G25" s="20">
        <v>93</v>
      </c>
      <c r="H25" s="20">
        <f>SUM(F25:G25)</f>
        <v>209</v>
      </c>
      <c r="I25" s="20">
        <v>80</v>
      </c>
      <c r="J25" s="20">
        <v>92</v>
      </c>
      <c r="K25" s="20">
        <f>SUM(I25:J25)</f>
        <v>172</v>
      </c>
      <c r="L25" s="21">
        <v>555</v>
      </c>
      <c r="M25" s="17">
        <v>301</v>
      </c>
      <c r="N25" s="20">
        <f>(L25-M25)</f>
        <v>254</v>
      </c>
      <c r="O25" s="16">
        <v>54</v>
      </c>
      <c r="P25" s="14">
        <v>46</v>
      </c>
      <c r="Q25" s="9" t="s">
        <v>71</v>
      </c>
      <c r="R25" s="19"/>
      <c r="S25" s="22">
        <f>P25/O25</f>
        <v>0.85185185185185186</v>
      </c>
    </row>
    <row r="26" spans="1:22" ht="15.5" x14ac:dyDescent="0.35">
      <c r="A26" s="15" t="s">
        <v>7</v>
      </c>
      <c r="B26" s="23">
        <v>16</v>
      </c>
      <c r="C26" s="23">
        <v>1156</v>
      </c>
      <c r="D26" s="23">
        <v>1377</v>
      </c>
      <c r="E26" s="20">
        <f t="shared" ref="E26:E47" si="6">SUM(C26:D26)</f>
        <v>2533</v>
      </c>
      <c r="F26" s="23">
        <v>1252</v>
      </c>
      <c r="G26" s="23">
        <v>1379</v>
      </c>
      <c r="H26" s="20">
        <f t="shared" ref="H26:H47" si="7">SUM(F26:G26)</f>
        <v>2631</v>
      </c>
      <c r="I26" s="23">
        <v>1133</v>
      </c>
      <c r="J26" s="23">
        <v>1270</v>
      </c>
      <c r="K26" s="20">
        <f t="shared" ref="K26:K47" si="8">SUM(I26:J26)</f>
        <v>2403</v>
      </c>
      <c r="L26" s="21">
        <v>7567</v>
      </c>
      <c r="M26" s="17">
        <v>3541</v>
      </c>
      <c r="N26" s="20">
        <f t="shared" ref="N26:N46" si="9">(L26-M26)</f>
        <v>4026</v>
      </c>
      <c r="O26" s="16">
        <v>47</v>
      </c>
      <c r="P26" s="14">
        <f>100-O26</f>
        <v>53</v>
      </c>
      <c r="Q26" s="9" t="s">
        <v>71</v>
      </c>
      <c r="R26" s="19"/>
      <c r="S26" s="22">
        <f t="shared" ref="S26:S47" si="10">P26/O26</f>
        <v>1.1276595744680851</v>
      </c>
    </row>
    <row r="27" spans="1:22" ht="15.5" x14ac:dyDescent="0.35">
      <c r="A27" s="15" t="s">
        <v>8</v>
      </c>
      <c r="B27" s="23">
        <v>8</v>
      </c>
      <c r="C27" s="23">
        <v>93</v>
      </c>
      <c r="D27" s="23">
        <v>82</v>
      </c>
      <c r="E27" s="20">
        <f t="shared" si="6"/>
        <v>175</v>
      </c>
      <c r="F27" s="23">
        <v>92</v>
      </c>
      <c r="G27" s="23">
        <v>109</v>
      </c>
      <c r="H27" s="20">
        <f t="shared" si="7"/>
        <v>201</v>
      </c>
      <c r="I27" s="23">
        <v>96</v>
      </c>
      <c r="J27" s="23">
        <v>45</v>
      </c>
      <c r="K27" s="20">
        <f t="shared" si="8"/>
        <v>141</v>
      </c>
      <c r="L27" s="21">
        <v>517</v>
      </c>
      <c r="M27" s="17">
        <v>281</v>
      </c>
      <c r="N27" s="20">
        <f t="shared" si="9"/>
        <v>236</v>
      </c>
      <c r="O27" s="16">
        <v>54</v>
      </c>
      <c r="P27" s="14">
        <f t="shared" ref="P27:P47" si="11">100-O27</f>
        <v>46</v>
      </c>
      <c r="Q27" s="9" t="s">
        <v>71</v>
      </c>
      <c r="R27" s="19"/>
      <c r="S27" s="22">
        <f t="shared" si="10"/>
        <v>0.85185185185185186</v>
      </c>
    </row>
    <row r="28" spans="1:22" ht="15.5" x14ac:dyDescent="0.35">
      <c r="A28" s="15" t="s">
        <v>9</v>
      </c>
      <c r="B28" s="23">
        <v>15</v>
      </c>
      <c r="C28" s="23">
        <v>358</v>
      </c>
      <c r="D28" s="23">
        <v>371</v>
      </c>
      <c r="E28" s="20">
        <f t="shared" si="6"/>
        <v>729</v>
      </c>
      <c r="F28" s="23">
        <v>363</v>
      </c>
      <c r="G28" s="23">
        <v>379</v>
      </c>
      <c r="H28" s="20">
        <f t="shared" si="7"/>
        <v>742</v>
      </c>
      <c r="I28" s="23">
        <v>336</v>
      </c>
      <c r="J28" s="23">
        <v>319</v>
      </c>
      <c r="K28" s="20">
        <f t="shared" si="8"/>
        <v>655</v>
      </c>
      <c r="L28" s="21">
        <v>2126</v>
      </c>
      <c r="M28" s="17">
        <v>1057</v>
      </c>
      <c r="N28" s="20">
        <f t="shared" si="9"/>
        <v>1069</v>
      </c>
      <c r="O28" s="16">
        <v>50</v>
      </c>
      <c r="P28" s="14">
        <f t="shared" si="11"/>
        <v>50</v>
      </c>
      <c r="Q28" s="9" t="s">
        <v>71</v>
      </c>
      <c r="R28" s="19"/>
      <c r="S28" s="22">
        <f t="shared" si="10"/>
        <v>1</v>
      </c>
    </row>
    <row r="29" spans="1:22" ht="15.5" x14ac:dyDescent="0.35">
      <c r="A29" s="15" t="s">
        <v>10</v>
      </c>
      <c r="B29" s="23">
        <v>10</v>
      </c>
      <c r="C29" s="23">
        <v>68</v>
      </c>
      <c r="D29" s="23">
        <v>62</v>
      </c>
      <c r="E29" s="20">
        <f t="shared" si="6"/>
        <v>130</v>
      </c>
      <c r="F29" s="23">
        <v>57</v>
      </c>
      <c r="G29" s="23">
        <v>47</v>
      </c>
      <c r="H29" s="20">
        <f t="shared" si="7"/>
        <v>104</v>
      </c>
      <c r="I29" s="23">
        <v>12</v>
      </c>
      <c r="J29" s="23">
        <v>11</v>
      </c>
      <c r="K29" s="20">
        <f t="shared" si="8"/>
        <v>23</v>
      </c>
      <c r="L29" s="21">
        <v>257</v>
      </c>
      <c r="M29" s="17">
        <v>137</v>
      </c>
      <c r="N29" s="20">
        <f t="shared" si="9"/>
        <v>120</v>
      </c>
      <c r="O29" s="16">
        <v>53</v>
      </c>
      <c r="P29" s="14">
        <f t="shared" si="11"/>
        <v>47</v>
      </c>
      <c r="Q29" s="9" t="s">
        <v>71</v>
      </c>
      <c r="R29" s="19"/>
      <c r="S29" s="22">
        <f t="shared" si="10"/>
        <v>0.8867924528301887</v>
      </c>
    </row>
    <row r="30" spans="1:22" ht="15.5" x14ac:dyDescent="0.35">
      <c r="A30" s="15" t="s">
        <v>11</v>
      </c>
      <c r="B30" s="23">
        <v>14</v>
      </c>
      <c r="C30" s="23">
        <v>74</v>
      </c>
      <c r="D30" s="23">
        <v>170</v>
      </c>
      <c r="E30" s="20">
        <f t="shared" si="6"/>
        <v>244</v>
      </c>
      <c r="F30" s="23">
        <v>92</v>
      </c>
      <c r="G30" s="23">
        <v>214</v>
      </c>
      <c r="H30" s="20">
        <f t="shared" si="7"/>
        <v>306</v>
      </c>
      <c r="I30" s="23">
        <v>91</v>
      </c>
      <c r="J30" s="23">
        <v>192</v>
      </c>
      <c r="K30" s="20">
        <f t="shared" si="8"/>
        <v>283</v>
      </c>
      <c r="L30" s="21">
        <v>833</v>
      </c>
      <c r="M30" s="17">
        <v>257</v>
      </c>
      <c r="N30" s="20">
        <f t="shared" si="9"/>
        <v>576</v>
      </c>
      <c r="O30" s="16">
        <v>31</v>
      </c>
      <c r="P30" s="14">
        <f t="shared" si="11"/>
        <v>69</v>
      </c>
      <c r="Q30" s="9" t="s">
        <v>71</v>
      </c>
      <c r="R30" s="19"/>
      <c r="S30" s="22">
        <f t="shared" si="10"/>
        <v>2.225806451612903</v>
      </c>
    </row>
    <row r="31" spans="1:22" ht="15.5" x14ac:dyDescent="0.35">
      <c r="A31" s="15" t="s">
        <v>12</v>
      </c>
      <c r="B31" s="23">
        <v>20</v>
      </c>
      <c r="C31" s="23">
        <v>188</v>
      </c>
      <c r="D31" s="23">
        <v>268</v>
      </c>
      <c r="E31" s="20">
        <f t="shared" si="6"/>
        <v>456</v>
      </c>
      <c r="F31" s="23">
        <v>195</v>
      </c>
      <c r="G31" s="23">
        <v>264</v>
      </c>
      <c r="H31" s="20">
        <f t="shared" si="7"/>
        <v>459</v>
      </c>
      <c r="I31" s="23">
        <v>222</v>
      </c>
      <c r="J31" s="23">
        <v>190</v>
      </c>
      <c r="K31" s="20">
        <f t="shared" si="8"/>
        <v>412</v>
      </c>
      <c r="L31" s="21">
        <v>1327</v>
      </c>
      <c r="M31" s="17">
        <v>605</v>
      </c>
      <c r="N31" s="20">
        <f t="shared" si="9"/>
        <v>722</v>
      </c>
      <c r="O31" s="16">
        <v>46</v>
      </c>
      <c r="P31" s="14">
        <f t="shared" si="11"/>
        <v>54</v>
      </c>
      <c r="Q31" s="9" t="s">
        <v>71</v>
      </c>
      <c r="R31" s="19"/>
      <c r="S31" s="22">
        <f t="shared" si="10"/>
        <v>1.173913043478261</v>
      </c>
    </row>
    <row r="32" spans="1:22" ht="15.5" x14ac:dyDescent="0.35">
      <c r="A32" s="15" t="s">
        <v>13</v>
      </c>
      <c r="B32" s="25">
        <v>28</v>
      </c>
      <c r="C32" s="25">
        <v>233</v>
      </c>
      <c r="D32" s="25">
        <v>217</v>
      </c>
      <c r="E32" s="20">
        <f t="shared" si="6"/>
        <v>450</v>
      </c>
      <c r="F32" s="25">
        <v>265</v>
      </c>
      <c r="G32" s="25">
        <v>234</v>
      </c>
      <c r="H32" s="20">
        <f t="shared" si="7"/>
        <v>499</v>
      </c>
      <c r="I32" s="25">
        <v>175</v>
      </c>
      <c r="J32" s="25">
        <v>153</v>
      </c>
      <c r="K32" s="20">
        <f t="shared" si="8"/>
        <v>328</v>
      </c>
      <c r="L32" s="21">
        <v>1361</v>
      </c>
      <c r="M32" s="17">
        <v>673</v>
      </c>
      <c r="N32" s="20">
        <f t="shared" si="9"/>
        <v>688</v>
      </c>
      <c r="O32" s="16">
        <v>49</v>
      </c>
      <c r="P32" s="14">
        <f t="shared" si="11"/>
        <v>51</v>
      </c>
      <c r="Q32" s="9" t="s">
        <v>71</v>
      </c>
      <c r="R32" s="19"/>
      <c r="S32" s="22">
        <f t="shared" si="10"/>
        <v>1.0408163265306123</v>
      </c>
    </row>
    <row r="33" spans="1:31" ht="31" x14ac:dyDescent="0.35">
      <c r="A33" s="15" t="s">
        <v>14</v>
      </c>
      <c r="B33" s="23">
        <v>15</v>
      </c>
      <c r="C33" s="23">
        <v>1056</v>
      </c>
      <c r="D33" s="23">
        <v>1135</v>
      </c>
      <c r="E33" s="20">
        <f t="shared" si="6"/>
        <v>2191</v>
      </c>
      <c r="F33" s="23">
        <v>1125</v>
      </c>
      <c r="G33" s="23">
        <v>1143</v>
      </c>
      <c r="H33" s="20">
        <f t="shared" si="7"/>
        <v>2268</v>
      </c>
      <c r="I33" s="23">
        <v>1021</v>
      </c>
      <c r="J33" s="23">
        <v>890</v>
      </c>
      <c r="K33" s="20">
        <f t="shared" si="8"/>
        <v>1911</v>
      </c>
      <c r="L33" s="21">
        <v>6436</v>
      </c>
      <c r="M33" s="17">
        <v>3202</v>
      </c>
      <c r="N33" s="20">
        <f t="shared" si="9"/>
        <v>3234</v>
      </c>
      <c r="O33" s="16">
        <v>50</v>
      </c>
      <c r="P33" s="14">
        <f t="shared" si="11"/>
        <v>50</v>
      </c>
      <c r="Q33" s="9" t="s">
        <v>71</v>
      </c>
      <c r="R33" s="9"/>
      <c r="S33" s="22">
        <f t="shared" si="10"/>
        <v>1</v>
      </c>
    </row>
    <row r="34" spans="1:31" ht="31" x14ac:dyDescent="0.35">
      <c r="A34" s="15" t="s">
        <v>15</v>
      </c>
      <c r="B34" s="23">
        <v>12</v>
      </c>
      <c r="C34" s="23">
        <v>1645</v>
      </c>
      <c r="D34" s="23">
        <v>1633</v>
      </c>
      <c r="E34" s="20">
        <f t="shared" si="6"/>
        <v>3278</v>
      </c>
      <c r="F34" s="23">
        <v>1568</v>
      </c>
      <c r="G34" s="23">
        <v>1557</v>
      </c>
      <c r="H34" s="20">
        <f t="shared" si="7"/>
        <v>3125</v>
      </c>
      <c r="I34" s="23">
        <v>1256</v>
      </c>
      <c r="J34" s="23">
        <v>1308</v>
      </c>
      <c r="K34" s="20">
        <f t="shared" si="8"/>
        <v>2564</v>
      </c>
      <c r="L34" s="21">
        <v>8967</v>
      </c>
      <c r="M34" s="17">
        <v>4469</v>
      </c>
      <c r="N34" s="20">
        <f t="shared" si="9"/>
        <v>4498</v>
      </c>
      <c r="O34" s="16">
        <v>50</v>
      </c>
      <c r="P34" s="14">
        <f t="shared" si="11"/>
        <v>50</v>
      </c>
      <c r="Q34" s="9" t="s">
        <v>71</v>
      </c>
      <c r="R34" s="9"/>
      <c r="S34" s="22">
        <f t="shared" si="10"/>
        <v>1</v>
      </c>
    </row>
    <row r="35" spans="1:31" ht="15.5" x14ac:dyDescent="0.35">
      <c r="A35" s="15" t="s">
        <v>16</v>
      </c>
      <c r="B35" s="23">
        <v>12</v>
      </c>
      <c r="C35" s="23">
        <v>213</v>
      </c>
      <c r="D35" s="23">
        <v>260</v>
      </c>
      <c r="E35" s="20">
        <f t="shared" si="6"/>
        <v>473</v>
      </c>
      <c r="F35" s="23">
        <v>150</v>
      </c>
      <c r="G35" s="23">
        <v>202</v>
      </c>
      <c r="H35" s="20">
        <f t="shared" si="7"/>
        <v>352</v>
      </c>
      <c r="I35" s="23">
        <v>146</v>
      </c>
      <c r="J35" s="23">
        <v>181</v>
      </c>
      <c r="K35" s="20">
        <f t="shared" si="8"/>
        <v>327</v>
      </c>
      <c r="L35" s="21">
        <v>1152</v>
      </c>
      <c r="M35" s="17">
        <v>509</v>
      </c>
      <c r="N35" s="20">
        <f t="shared" si="9"/>
        <v>643</v>
      </c>
      <c r="O35" s="16">
        <v>44</v>
      </c>
      <c r="P35" s="14">
        <f t="shared" si="11"/>
        <v>56</v>
      </c>
      <c r="Q35" s="9" t="s">
        <v>71</v>
      </c>
      <c r="R35" s="19"/>
      <c r="S35" s="22">
        <f t="shared" si="10"/>
        <v>1.2727272727272727</v>
      </c>
    </row>
    <row r="36" spans="1:31" ht="15.5" x14ac:dyDescent="0.35">
      <c r="A36" s="15" t="s">
        <v>17</v>
      </c>
      <c r="B36" s="23">
        <v>20</v>
      </c>
      <c r="C36" s="23">
        <v>166</v>
      </c>
      <c r="D36" s="23">
        <v>207</v>
      </c>
      <c r="E36" s="20">
        <f t="shared" si="6"/>
        <v>373</v>
      </c>
      <c r="F36" s="23">
        <v>133</v>
      </c>
      <c r="G36" s="23">
        <v>172</v>
      </c>
      <c r="H36" s="20">
        <f t="shared" si="7"/>
        <v>305</v>
      </c>
      <c r="I36" s="23">
        <v>139</v>
      </c>
      <c r="J36" s="23">
        <v>165</v>
      </c>
      <c r="K36" s="20">
        <f t="shared" si="8"/>
        <v>304</v>
      </c>
      <c r="L36" s="21">
        <v>982</v>
      </c>
      <c r="M36" s="17">
        <v>438</v>
      </c>
      <c r="N36" s="20">
        <f t="shared" si="9"/>
        <v>544</v>
      </c>
      <c r="O36" s="16">
        <v>45</v>
      </c>
      <c r="P36" s="14">
        <f t="shared" si="11"/>
        <v>55</v>
      </c>
      <c r="Q36" s="9" t="s">
        <v>71</v>
      </c>
      <c r="R36" s="9"/>
      <c r="S36" s="22">
        <f t="shared" si="10"/>
        <v>1.2222222222222223</v>
      </c>
    </row>
    <row r="37" spans="1:31" ht="15.5" x14ac:dyDescent="0.35">
      <c r="A37" s="15" t="s">
        <v>18</v>
      </c>
      <c r="B37" s="23">
        <v>13</v>
      </c>
      <c r="C37" s="23">
        <v>69</v>
      </c>
      <c r="D37" s="23">
        <v>136</v>
      </c>
      <c r="E37" s="20">
        <f t="shared" si="6"/>
        <v>205</v>
      </c>
      <c r="F37" s="23">
        <v>72</v>
      </c>
      <c r="G37" s="23">
        <v>127</v>
      </c>
      <c r="H37" s="20">
        <f t="shared" si="7"/>
        <v>199</v>
      </c>
      <c r="I37" s="23">
        <v>68</v>
      </c>
      <c r="J37" s="23">
        <v>134</v>
      </c>
      <c r="K37" s="20">
        <f t="shared" si="8"/>
        <v>202</v>
      </c>
      <c r="L37" s="21">
        <v>606</v>
      </c>
      <c r="M37" s="17">
        <v>209</v>
      </c>
      <c r="N37" s="20">
        <f t="shared" si="9"/>
        <v>397</v>
      </c>
      <c r="O37" s="16">
        <v>34</v>
      </c>
      <c r="P37" s="14">
        <f t="shared" si="11"/>
        <v>66</v>
      </c>
      <c r="Q37" s="9" t="s">
        <v>71</v>
      </c>
      <c r="R37" s="9"/>
      <c r="S37" s="22">
        <f t="shared" si="10"/>
        <v>1.9411764705882353</v>
      </c>
    </row>
    <row r="38" spans="1:31" ht="15.5" x14ac:dyDescent="0.35">
      <c r="A38" s="15" t="s">
        <v>19</v>
      </c>
      <c r="B38" s="23">
        <v>13</v>
      </c>
      <c r="C38" s="23">
        <v>84</v>
      </c>
      <c r="D38" s="23">
        <v>122</v>
      </c>
      <c r="E38" s="20">
        <f t="shared" si="6"/>
        <v>206</v>
      </c>
      <c r="F38" s="23">
        <v>124</v>
      </c>
      <c r="G38" s="23">
        <v>140</v>
      </c>
      <c r="H38" s="20">
        <f t="shared" si="7"/>
        <v>264</v>
      </c>
      <c r="I38" s="23">
        <v>119</v>
      </c>
      <c r="J38" s="23">
        <v>150</v>
      </c>
      <c r="K38" s="20">
        <f t="shared" si="8"/>
        <v>269</v>
      </c>
      <c r="L38" s="21">
        <v>739</v>
      </c>
      <c r="M38" s="17">
        <v>327</v>
      </c>
      <c r="N38" s="20">
        <f t="shared" si="9"/>
        <v>412</v>
      </c>
      <c r="O38" s="16">
        <v>44</v>
      </c>
      <c r="P38" s="14">
        <f t="shared" si="11"/>
        <v>56</v>
      </c>
      <c r="Q38" s="9" t="s">
        <v>71</v>
      </c>
      <c r="R38" s="9"/>
      <c r="S38" s="22">
        <f t="shared" si="10"/>
        <v>1.2727272727272727</v>
      </c>
    </row>
    <row r="39" spans="1:31" ht="15.5" x14ac:dyDescent="0.35">
      <c r="A39" s="15" t="s">
        <v>20</v>
      </c>
      <c r="B39" s="23">
        <v>10</v>
      </c>
      <c r="C39" s="23">
        <v>149</v>
      </c>
      <c r="D39" s="23">
        <v>171</v>
      </c>
      <c r="E39" s="20">
        <f t="shared" si="6"/>
        <v>320</v>
      </c>
      <c r="F39" s="23">
        <v>165</v>
      </c>
      <c r="G39" s="23">
        <v>198</v>
      </c>
      <c r="H39" s="20">
        <f t="shared" si="7"/>
        <v>363</v>
      </c>
      <c r="I39" s="23">
        <v>168</v>
      </c>
      <c r="J39" s="23">
        <v>224</v>
      </c>
      <c r="K39" s="20">
        <f t="shared" si="8"/>
        <v>392</v>
      </c>
      <c r="L39" s="21">
        <v>1075</v>
      </c>
      <c r="M39" s="17">
        <v>482</v>
      </c>
      <c r="N39" s="20">
        <f t="shared" si="9"/>
        <v>593</v>
      </c>
      <c r="O39" s="16">
        <v>45</v>
      </c>
      <c r="P39" s="14">
        <f t="shared" si="11"/>
        <v>55</v>
      </c>
      <c r="Q39" s="9" t="s">
        <v>71</v>
      </c>
      <c r="R39" s="9"/>
      <c r="S39" s="22">
        <f t="shared" si="10"/>
        <v>1.2222222222222223</v>
      </c>
    </row>
    <row r="40" spans="1:31" ht="15.5" x14ac:dyDescent="0.35">
      <c r="A40" s="15" t="s">
        <v>21</v>
      </c>
      <c r="B40" s="23">
        <v>4</v>
      </c>
      <c r="C40" s="23">
        <v>39</v>
      </c>
      <c r="D40" s="23">
        <v>104</v>
      </c>
      <c r="E40" s="20">
        <f t="shared" si="6"/>
        <v>143</v>
      </c>
      <c r="F40" s="23">
        <v>34</v>
      </c>
      <c r="G40" s="23">
        <v>101</v>
      </c>
      <c r="H40" s="20">
        <f t="shared" si="7"/>
        <v>135</v>
      </c>
      <c r="I40" s="23">
        <v>24</v>
      </c>
      <c r="J40" s="23">
        <v>68</v>
      </c>
      <c r="K40" s="20">
        <f t="shared" si="8"/>
        <v>92</v>
      </c>
      <c r="L40" s="21">
        <v>370</v>
      </c>
      <c r="M40" s="17">
        <v>97</v>
      </c>
      <c r="N40" s="20">
        <f t="shared" si="9"/>
        <v>273</v>
      </c>
      <c r="O40" s="16">
        <v>26</v>
      </c>
      <c r="P40" s="14">
        <f t="shared" si="11"/>
        <v>74</v>
      </c>
      <c r="Q40" s="9" t="s">
        <v>71</v>
      </c>
      <c r="R40" s="9"/>
      <c r="S40" s="22">
        <f t="shared" si="10"/>
        <v>2.8461538461538463</v>
      </c>
    </row>
    <row r="41" spans="1:31" ht="15.5" x14ac:dyDescent="0.35">
      <c r="A41" s="15" t="s">
        <v>22</v>
      </c>
      <c r="B41" s="23">
        <v>16</v>
      </c>
      <c r="C41" s="23">
        <v>424</v>
      </c>
      <c r="D41" s="23">
        <v>488</v>
      </c>
      <c r="E41" s="20">
        <f t="shared" si="6"/>
        <v>912</v>
      </c>
      <c r="F41" s="23">
        <v>495</v>
      </c>
      <c r="G41" s="23">
        <v>461</v>
      </c>
      <c r="H41" s="20">
        <f t="shared" si="7"/>
        <v>956</v>
      </c>
      <c r="I41" s="23">
        <v>361</v>
      </c>
      <c r="J41" s="23">
        <v>327</v>
      </c>
      <c r="K41" s="20">
        <f t="shared" si="8"/>
        <v>688</v>
      </c>
      <c r="L41" s="21">
        <v>2556</v>
      </c>
      <c r="M41" s="17">
        <v>1280</v>
      </c>
      <c r="N41" s="20">
        <f t="shared" si="9"/>
        <v>1276</v>
      </c>
      <c r="O41" s="16">
        <v>50</v>
      </c>
      <c r="P41" s="14">
        <f t="shared" si="11"/>
        <v>50</v>
      </c>
      <c r="Q41" s="9" t="s">
        <v>71</v>
      </c>
      <c r="R41" s="9"/>
      <c r="S41" s="22">
        <f t="shared" si="10"/>
        <v>1</v>
      </c>
    </row>
    <row r="42" spans="1:31" ht="15.5" x14ac:dyDescent="0.35">
      <c r="A42" s="15" t="s">
        <v>23</v>
      </c>
      <c r="B42" s="23">
        <v>6</v>
      </c>
      <c r="C42" s="23">
        <v>870</v>
      </c>
      <c r="D42" s="23">
        <v>574</v>
      </c>
      <c r="E42" s="20">
        <f t="shared" si="6"/>
        <v>1444</v>
      </c>
      <c r="F42" s="23">
        <v>628</v>
      </c>
      <c r="G42" s="23">
        <v>283</v>
      </c>
      <c r="H42" s="20">
        <f t="shared" si="7"/>
        <v>911</v>
      </c>
      <c r="I42" s="23">
        <v>362</v>
      </c>
      <c r="J42" s="23">
        <v>250</v>
      </c>
      <c r="K42" s="20">
        <f t="shared" si="8"/>
        <v>612</v>
      </c>
      <c r="L42" s="21">
        <v>2967</v>
      </c>
      <c r="M42" s="17">
        <v>1860</v>
      </c>
      <c r="N42" s="20">
        <f t="shared" si="9"/>
        <v>1107</v>
      </c>
      <c r="O42" s="16">
        <v>63</v>
      </c>
      <c r="P42" s="14">
        <f t="shared" si="11"/>
        <v>37</v>
      </c>
      <c r="Q42" s="9" t="s">
        <v>71</v>
      </c>
      <c r="R42" s="19"/>
      <c r="S42" s="22">
        <f t="shared" si="10"/>
        <v>0.58730158730158732</v>
      </c>
    </row>
    <row r="43" spans="1:31" ht="15.5" x14ac:dyDescent="0.35">
      <c r="A43" s="15" t="s">
        <v>24</v>
      </c>
      <c r="B43" s="23">
        <v>11</v>
      </c>
      <c r="C43" s="23">
        <v>1023</v>
      </c>
      <c r="D43" s="23">
        <v>1089</v>
      </c>
      <c r="E43" s="20">
        <f t="shared" si="6"/>
        <v>2112</v>
      </c>
      <c r="F43" s="23">
        <v>952</v>
      </c>
      <c r="G43" s="23">
        <v>1019</v>
      </c>
      <c r="H43" s="20">
        <f t="shared" si="7"/>
        <v>1971</v>
      </c>
      <c r="I43" s="23">
        <v>853</v>
      </c>
      <c r="J43" s="23">
        <v>893</v>
      </c>
      <c r="K43" s="20">
        <f t="shared" si="8"/>
        <v>1746</v>
      </c>
      <c r="L43" s="21">
        <v>5829</v>
      </c>
      <c r="M43" s="17">
        <v>2828</v>
      </c>
      <c r="N43" s="20">
        <f t="shared" si="9"/>
        <v>3001</v>
      </c>
      <c r="O43" s="16">
        <v>49</v>
      </c>
      <c r="P43" s="14">
        <f t="shared" si="11"/>
        <v>51</v>
      </c>
      <c r="Q43" s="9" t="s">
        <v>71</v>
      </c>
      <c r="R43" s="19"/>
      <c r="S43" s="22">
        <f t="shared" si="10"/>
        <v>1.0408163265306123</v>
      </c>
    </row>
    <row r="44" spans="1:31" ht="15.5" x14ac:dyDescent="0.35">
      <c r="A44" s="15" t="s">
        <v>25</v>
      </c>
      <c r="B44" s="23">
        <v>16</v>
      </c>
      <c r="C44" s="23">
        <v>76</v>
      </c>
      <c r="D44" s="23">
        <v>135</v>
      </c>
      <c r="E44" s="20">
        <f t="shared" si="6"/>
        <v>211</v>
      </c>
      <c r="F44" s="23">
        <v>90</v>
      </c>
      <c r="G44" s="23">
        <v>127</v>
      </c>
      <c r="H44" s="20">
        <f t="shared" si="7"/>
        <v>217</v>
      </c>
      <c r="I44" s="23">
        <v>67</v>
      </c>
      <c r="J44" s="23">
        <v>124</v>
      </c>
      <c r="K44" s="20">
        <f t="shared" si="8"/>
        <v>191</v>
      </c>
      <c r="L44" s="21">
        <v>619</v>
      </c>
      <c r="M44" s="17">
        <v>233</v>
      </c>
      <c r="N44" s="20">
        <f t="shared" si="9"/>
        <v>386</v>
      </c>
      <c r="O44" s="16">
        <v>38</v>
      </c>
      <c r="P44" s="14">
        <f t="shared" si="11"/>
        <v>62</v>
      </c>
      <c r="Q44" s="9" t="s">
        <v>71</v>
      </c>
      <c r="R44" s="19"/>
      <c r="S44" s="22">
        <f t="shared" si="10"/>
        <v>1.631578947368421</v>
      </c>
    </row>
    <row r="45" spans="1:31" ht="15.5" x14ac:dyDescent="0.35">
      <c r="A45" s="15" t="s">
        <v>26</v>
      </c>
      <c r="B45" s="23">
        <v>10</v>
      </c>
      <c r="C45" s="23">
        <v>29</v>
      </c>
      <c r="D45" s="23">
        <v>83</v>
      </c>
      <c r="E45" s="20">
        <f t="shared" si="6"/>
        <v>112</v>
      </c>
      <c r="F45" s="23">
        <v>30</v>
      </c>
      <c r="G45" s="23">
        <v>81</v>
      </c>
      <c r="H45" s="20">
        <f t="shared" si="7"/>
        <v>111</v>
      </c>
      <c r="I45" s="23">
        <v>10</v>
      </c>
      <c r="J45" s="23">
        <v>66</v>
      </c>
      <c r="K45" s="20">
        <f t="shared" si="8"/>
        <v>76</v>
      </c>
      <c r="L45" s="21">
        <v>299</v>
      </c>
      <c r="M45" s="17">
        <v>69</v>
      </c>
      <c r="N45" s="20">
        <f t="shared" si="9"/>
        <v>230</v>
      </c>
      <c r="O45" s="16">
        <v>23</v>
      </c>
      <c r="P45" s="14">
        <f t="shared" si="11"/>
        <v>77</v>
      </c>
      <c r="Q45" s="9" t="s">
        <v>71</v>
      </c>
      <c r="R45" s="19"/>
      <c r="S45" s="22">
        <f t="shared" si="10"/>
        <v>3.347826086956522</v>
      </c>
    </row>
    <row r="46" spans="1:31" ht="31" x14ac:dyDescent="0.35">
      <c r="A46" s="15" t="s">
        <v>27</v>
      </c>
      <c r="B46" s="23">
        <v>40</v>
      </c>
      <c r="C46" s="23">
        <v>28</v>
      </c>
      <c r="D46" s="23">
        <v>51</v>
      </c>
      <c r="E46" s="20">
        <f t="shared" si="6"/>
        <v>79</v>
      </c>
      <c r="F46" s="23">
        <v>29</v>
      </c>
      <c r="G46" s="23">
        <v>60</v>
      </c>
      <c r="H46" s="20">
        <f t="shared" si="7"/>
        <v>89</v>
      </c>
      <c r="I46" s="23">
        <v>10</v>
      </c>
      <c r="J46" s="23">
        <v>66</v>
      </c>
      <c r="K46" s="20">
        <f t="shared" si="8"/>
        <v>76</v>
      </c>
      <c r="L46" s="21">
        <v>244</v>
      </c>
      <c r="M46" s="17">
        <v>67</v>
      </c>
      <c r="N46" s="20">
        <f t="shared" si="9"/>
        <v>177</v>
      </c>
      <c r="O46" s="16">
        <v>27</v>
      </c>
      <c r="P46" s="14">
        <f t="shared" si="11"/>
        <v>73</v>
      </c>
      <c r="Q46" s="9" t="s">
        <v>71</v>
      </c>
      <c r="R46" s="19"/>
      <c r="S46" s="22">
        <f t="shared" si="10"/>
        <v>2.7037037037037037</v>
      </c>
    </row>
    <row r="47" spans="1:31" ht="15.5" x14ac:dyDescent="0.35">
      <c r="A47" s="15" t="s">
        <v>28</v>
      </c>
      <c r="B47" s="23">
        <v>15</v>
      </c>
      <c r="C47" s="23">
        <v>1216</v>
      </c>
      <c r="D47" s="23">
        <v>1311</v>
      </c>
      <c r="E47" s="20">
        <f t="shared" si="6"/>
        <v>2527</v>
      </c>
      <c r="F47" s="23">
        <v>1098</v>
      </c>
      <c r="G47" s="23">
        <v>1181</v>
      </c>
      <c r="H47" s="20">
        <f t="shared" si="7"/>
        <v>2279</v>
      </c>
      <c r="I47" s="23">
        <v>846</v>
      </c>
      <c r="J47" s="23">
        <v>691</v>
      </c>
      <c r="K47" s="20">
        <f t="shared" si="8"/>
        <v>1537</v>
      </c>
      <c r="L47" s="21">
        <v>6343</v>
      </c>
      <c r="M47" s="17">
        <v>3160</v>
      </c>
      <c r="N47" s="24">
        <v>3183</v>
      </c>
      <c r="O47" s="16">
        <v>50</v>
      </c>
      <c r="P47" s="14">
        <f t="shared" si="11"/>
        <v>50</v>
      </c>
      <c r="Q47" s="9" t="s">
        <v>71</v>
      </c>
      <c r="R47" s="19"/>
      <c r="S47" s="22">
        <f t="shared" si="10"/>
        <v>1</v>
      </c>
    </row>
    <row r="48" spans="1:31" ht="15.5" x14ac:dyDescent="0.35">
      <c r="A48" s="1" t="s">
        <v>6</v>
      </c>
      <c r="B48" s="26">
        <v>7</v>
      </c>
      <c r="C48" s="48">
        <v>724</v>
      </c>
      <c r="D48" s="48">
        <v>289</v>
      </c>
      <c r="E48" s="49">
        <v>1013</v>
      </c>
      <c r="F48" s="48">
        <v>489</v>
      </c>
      <c r="G48" s="48">
        <v>221</v>
      </c>
      <c r="H48" s="50">
        <v>710</v>
      </c>
      <c r="I48" s="48">
        <v>448</v>
      </c>
      <c r="J48" s="48">
        <v>148</v>
      </c>
      <c r="K48" s="48">
        <v>596</v>
      </c>
      <c r="L48" s="2">
        <v>2319</v>
      </c>
      <c r="M48" s="2">
        <f>2319-658</f>
        <v>1661</v>
      </c>
      <c r="N48" s="3">
        <v>658</v>
      </c>
      <c r="O48" s="16">
        <f t="shared" si="3"/>
        <v>71.625700733074609</v>
      </c>
      <c r="P48" s="14">
        <f t="shared" si="0"/>
        <v>28.374299266925401</v>
      </c>
      <c r="Q48" s="9" t="s">
        <v>72</v>
      </c>
      <c r="R48" s="19">
        <f>P48/O48</f>
        <v>0.39614689945815773</v>
      </c>
      <c r="S48" s="9">
        <f t="shared" ref="S48:S89" si="12">ROUND(R48, 1)</f>
        <v>0.4</v>
      </c>
      <c r="W48" s="39"/>
      <c r="X48" s="39"/>
      <c r="Y48" s="39"/>
      <c r="Z48" s="39"/>
      <c r="AA48" s="39"/>
      <c r="AB48" s="39"/>
      <c r="AC48" s="39"/>
      <c r="AD48" s="39"/>
      <c r="AE48" s="39"/>
    </row>
    <row r="49" spans="1:31" ht="15.5" x14ac:dyDescent="0.35">
      <c r="A49" s="1" t="s">
        <v>7</v>
      </c>
      <c r="B49" s="25">
        <v>16</v>
      </c>
      <c r="C49" s="49">
        <v>2440</v>
      </c>
      <c r="D49" s="49">
        <v>2392</v>
      </c>
      <c r="E49" s="49">
        <v>4832</v>
      </c>
      <c r="F49" s="49">
        <v>1825</v>
      </c>
      <c r="G49" s="49">
        <v>1817</v>
      </c>
      <c r="H49" s="51">
        <v>3642</v>
      </c>
      <c r="I49" s="49">
        <v>1055</v>
      </c>
      <c r="J49" s="48">
        <v>936</v>
      </c>
      <c r="K49" s="49">
        <v>1991</v>
      </c>
      <c r="L49" s="2">
        <v>10465</v>
      </c>
      <c r="M49" s="2">
        <f>10465-5145</f>
        <v>5320</v>
      </c>
      <c r="N49" s="2">
        <v>5145</v>
      </c>
      <c r="O49" s="16">
        <f t="shared" si="3"/>
        <v>50.836120401337794</v>
      </c>
      <c r="P49" s="14">
        <f t="shared" si="0"/>
        <v>49.163879598662206</v>
      </c>
      <c r="Q49" s="9" t="s">
        <v>72</v>
      </c>
      <c r="R49" s="19">
        <f t="shared" ref="R49:R112" si="13">P49/O49</f>
        <v>0.96710526315789469</v>
      </c>
      <c r="S49" s="9">
        <f t="shared" si="12"/>
        <v>1</v>
      </c>
      <c r="W49" s="40"/>
      <c r="X49" s="40"/>
      <c r="Y49" s="41"/>
      <c r="Z49" s="40"/>
      <c r="AA49" s="40"/>
      <c r="AB49" s="42"/>
      <c r="AC49" s="40"/>
      <c r="AD49" s="40"/>
      <c r="AE49" s="40"/>
    </row>
    <row r="50" spans="1:31" ht="15.5" x14ac:dyDescent="0.35">
      <c r="A50" s="1" t="s">
        <v>8</v>
      </c>
      <c r="B50" s="25">
        <v>8</v>
      </c>
      <c r="C50" s="48">
        <v>975</v>
      </c>
      <c r="D50" s="48">
        <v>477</v>
      </c>
      <c r="E50" s="49">
        <v>1452</v>
      </c>
      <c r="F50" s="48">
        <v>664</v>
      </c>
      <c r="G50" s="48">
        <v>288</v>
      </c>
      <c r="H50" s="50">
        <v>952</v>
      </c>
      <c r="I50" s="48">
        <v>472</v>
      </c>
      <c r="J50" s="48">
        <v>257</v>
      </c>
      <c r="K50" s="48">
        <v>729</v>
      </c>
      <c r="L50" s="2">
        <v>3133</v>
      </c>
      <c r="M50" s="2">
        <v>2111</v>
      </c>
      <c r="N50" s="2">
        <v>1022</v>
      </c>
      <c r="O50" s="16">
        <f t="shared" si="3"/>
        <v>67.379508458346635</v>
      </c>
      <c r="P50" s="14">
        <f t="shared" si="0"/>
        <v>32.620491541653365</v>
      </c>
      <c r="Q50" s="9" t="s">
        <v>72</v>
      </c>
      <c r="R50" s="19">
        <f t="shared" si="13"/>
        <v>0.4841307437233538</v>
      </c>
      <c r="S50" s="9">
        <f t="shared" si="12"/>
        <v>0.5</v>
      </c>
      <c r="W50" s="41"/>
      <c r="X50" s="41"/>
      <c r="Y50" s="41"/>
      <c r="Z50" s="41"/>
      <c r="AA50" s="41"/>
      <c r="AB50" s="43"/>
      <c r="AC50" s="41"/>
      <c r="AD50" s="40"/>
      <c r="AE50" s="41"/>
    </row>
    <row r="51" spans="1:31" ht="15.5" x14ac:dyDescent="0.35">
      <c r="A51" s="1" t="s">
        <v>9</v>
      </c>
      <c r="B51" s="25">
        <v>15</v>
      </c>
      <c r="C51" s="49">
        <v>2308</v>
      </c>
      <c r="D51" s="49">
        <v>1022</v>
      </c>
      <c r="E51" s="49">
        <v>3330</v>
      </c>
      <c r="F51" s="49">
        <v>1797</v>
      </c>
      <c r="G51" s="49">
        <v>1059</v>
      </c>
      <c r="H51" s="51">
        <v>2856</v>
      </c>
      <c r="I51" s="49">
        <v>1177</v>
      </c>
      <c r="J51" s="48">
        <v>667</v>
      </c>
      <c r="K51" s="49">
        <v>1844</v>
      </c>
      <c r="L51" s="2">
        <v>8030</v>
      </c>
      <c r="M51" s="2">
        <v>5282</v>
      </c>
      <c r="N51" s="2">
        <v>2748</v>
      </c>
      <c r="O51" s="16">
        <f t="shared" si="3"/>
        <v>65.778331257783321</v>
      </c>
      <c r="P51" s="14">
        <f t="shared" si="0"/>
        <v>34.221668742216686</v>
      </c>
      <c r="Q51" s="9" t="s">
        <v>72</v>
      </c>
      <c r="R51" s="19">
        <f t="shared" si="13"/>
        <v>0.52025747822794388</v>
      </c>
      <c r="S51" s="9">
        <f t="shared" si="12"/>
        <v>0.5</v>
      </c>
      <c r="W51" s="40"/>
      <c r="X51" s="40"/>
      <c r="Y51" s="41"/>
      <c r="Z51" s="40"/>
      <c r="AA51" s="40"/>
      <c r="AB51" s="42"/>
      <c r="AC51" s="40"/>
      <c r="AD51" s="40"/>
      <c r="AE51" s="40"/>
    </row>
    <row r="52" spans="1:31" ht="15.5" x14ac:dyDescent="0.35">
      <c r="A52" s="1" t="s">
        <v>10</v>
      </c>
      <c r="B52" s="25">
        <v>10</v>
      </c>
      <c r="C52" s="48">
        <v>823</v>
      </c>
      <c r="D52" s="48">
        <v>381</v>
      </c>
      <c r="E52" s="49">
        <v>1204</v>
      </c>
      <c r="F52" s="48">
        <v>829</v>
      </c>
      <c r="G52" s="48">
        <v>330</v>
      </c>
      <c r="H52" s="51">
        <v>1159</v>
      </c>
      <c r="I52" s="48">
        <v>717</v>
      </c>
      <c r="J52" s="48">
        <v>283</v>
      </c>
      <c r="K52" s="49">
        <v>1000</v>
      </c>
      <c r="L52" s="2">
        <v>3363</v>
      </c>
      <c r="M52" s="2">
        <v>2369</v>
      </c>
      <c r="N52" s="3">
        <v>994</v>
      </c>
      <c r="O52" s="16">
        <f t="shared" si="3"/>
        <v>70.443056794528687</v>
      </c>
      <c r="P52" s="14">
        <f t="shared" si="0"/>
        <v>29.556943205471303</v>
      </c>
      <c r="Q52" s="9" t="s">
        <v>72</v>
      </c>
      <c r="R52" s="19">
        <f t="shared" si="13"/>
        <v>0.4195863233431828</v>
      </c>
      <c r="S52" s="9">
        <f t="shared" si="12"/>
        <v>0.4</v>
      </c>
      <c r="W52" s="41"/>
      <c r="X52" s="41"/>
      <c r="Y52" s="41"/>
      <c r="Z52" s="41"/>
      <c r="AA52" s="41"/>
      <c r="AB52" s="43"/>
      <c r="AC52" s="41"/>
      <c r="AD52" s="40"/>
      <c r="AE52" s="41"/>
    </row>
    <row r="53" spans="1:31" ht="15.5" x14ac:dyDescent="0.35">
      <c r="A53" s="1" t="s">
        <v>11</v>
      </c>
      <c r="B53" s="25">
        <v>14</v>
      </c>
      <c r="C53" s="48">
        <v>518</v>
      </c>
      <c r="D53" s="48">
        <v>492</v>
      </c>
      <c r="E53" s="49">
        <v>1010</v>
      </c>
      <c r="F53" s="48">
        <v>531</v>
      </c>
      <c r="G53" s="48">
        <v>446</v>
      </c>
      <c r="H53" s="50">
        <v>977</v>
      </c>
      <c r="I53" s="48">
        <v>494</v>
      </c>
      <c r="J53" s="48">
        <v>425</v>
      </c>
      <c r="K53" s="48">
        <v>919</v>
      </c>
      <c r="L53" s="2">
        <v>2906</v>
      </c>
      <c r="M53" s="2">
        <v>1543</v>
      </c>
      <c r="N53" s="2">
        <v>1363</v>
      </c>
      <c r="O53" s="16">
        <f t="shared" si="3"/>
        <v>53.0970406056435</v>
      </c>
      <c r="P53" s="14">
        <f t="shared" si="0"/>
        <v>46.9029593943565</v>
      </c>
      <c r="Q53" s="9" t="s">
        <v>72</v>
      </c>
      <c r="R53" s="19">
        <f t="shared" si="13"/>
        <v>0.88334413480233298</v>
      </c>
      <c r="S53" s="9">
        <f t="shared" si="12"/>
        <v>0.9</v>
      </c>
      <c r="W53" s="40"/>
      <c r="X53" s="40"/>
      <c r="Y53" s="41"/>
      <c r="Z53" s="40"/>
      <c r="AA53" s="40"/>
      <c r="AB53" s="43"/>
      <c r="AC53" s="40"/>
      <c r="AD53" s="40"/>
      <c r="AE53" s="41"/>
    </row>
    <row r="54" spans="1:31" ht="15.5" x14ac:dyDescent="0.35">
      <c r="A54" s="1" t="s">
        <v>12</v>
      </c>
      <c r="B54" s="25">
        <v>20</v>
      </c>
      <c r="C54" s="49">
        <v>1310</v>
      </c>
      <c r="D54" s="49">
        <v>1083</v>
      </c>
      <c r="E54" s="49">
        <v>2393</v>
      </c>
      <c r="F54" s="49">
        <v>1278</v>
      </c>
      <c r="G54" s="49">
        <v>1103</v>
      </c>
      <c r="H54" s="51">
        <v>2381</v>
      </c>
      <c r="I54" s="49">
        <v>1286</v>
      </c>
      <c r="J54" s="48">
        <v>934</v>
      </c>
      <c r="K54" s="49">
        <v>2220</v>
      </c>
      <c r="L54" s="2">
        <v>6994</v>
      </c>
      <c r="M54" s="2">
        <v>3874</v>
      </c>
      <c r="N54" s="2">
        <v>3120</v>
      </c>
      <c r="O54" s="16">
        <f t="shared" si="3"/>
        <v>55.390334572490708</v>
      </c>
      <c r="P54" s="14">
        <f t="shared" si="0"/>
        <v>44.609665427509292</v>
      </c>
      <c r="Q54" s="9" t="s">
        <v>72</v>
      </c>
      <c r="R54" s="19">
        <f t="shared" si="13"/>
        <v>0.80536912751677847</v>
      </c>
      <c r="S54" s="9">
        <f t="shared" si="12"/>
        <v>0.8</v>
      </c>
      <c r="W54" s="40"/>
      <c r="X54" s="40"/>
      <c r="Y54" s="41"/>
      <c r="Z54" s="40"/>
      <c r="AA54" s="40"/>
      <c r="AB54" s="42"/>
      <c r="AC54" s="40"/>
      <c r="AD54" s="40"/>
      <c r="AE54" s="40"/>
    </row>
    <row r="55" spans="1:31" ht="15.5" x14ac:dyDescent="0.35">
      <c r="A55" s="1" t="s">
        <v>13</v>
      </c>
      <c r="B55" s="25">
        <v>28</v>
      </c>
      <c r="C55" s="49">
        <v>1074</v>
      </c>
      <c r="D55" s="48">
        <v>867</v>
      </c>
      <c r="E55" s="49">
        <v>1941</v>
      </c>
      <c r="F55" s="49">
        <v>1175</v>
      </c>
      <c r="G55" s="48">
        <v>873</v>
      </c>
      <c r="H55" s="51">
        <v>2048</v>
      </c>
      <c r="I55" s="48">
        <v>701</v>
      </c>
      <c r="J55" s="48">
        <v>463</v>
      </c>
      <c r="K55" s="49">
        <v>1164</v>
      </c>
      <c r="L55" s="2">
        <v>5153</v>
      </c>
      <c r="M55" s="2">
        <v>2950</v>
      </c>
      <c r="N55" s="2">
        <v>2203</v>
      </c>
      <c r="O55" s="16">
        <f t="shared" si="3"/>
        <v>57.248204929167478</v>
      </c>
      <c r="P55" s="14">
        <f t="shared" si="0"/>
        <v>42.751795070832529</v>
      </c>
      <c r="Q55" s="9" t="s">
        <v>72</v>
      </c>
      <c r="R55" s="19">
        <f t="shared" si="13"/>
        <v>0.74677966101694915</v>
      </c>
      <c r="S55" s="9">
        <f t="shared" si="12"/>
        <v>0.7</v>
      </c>
      <c r="W55" s="41"/>
      <c r="X55" s="41"/>
      <c r="Y55" s="41"/>
      <c r="Z55" s="41"/>
      <c r="AA55" s="41"/>
      <c r="AB55" s="43"/>
      <c r="AC55" s="41"/>
      <c r="AD55" s="40"/>
      <c r="AE55" s="41"/>
    </row>
    <row r="56" spans="1:31" ht="15.5" x14ac:dyDescent="0.35">
      <c r="A56" s="1" t="s">
        <v>29</v>
      </c>
      <c r="B56" s="25">
        <v>15</v>
      </c>
      <c r="C56" s="49">
        <v>2671</v>
      </c>
      <c r="D56" s="49">
        <v>3277</v>
      </c>
      <c r="E56" s="49">
        <v>5948</v>
      </c>
      <c r="F56" s="49">
        <v>2357</v>
      </c>
      <c r="G56" s="49">
        <v>2776</v>
      </c>
      <c r="H56" s="51">
        <v>5133</v>
      </c>
      <c r="I56" s="49">
        <v>1182</v>
      </c>
      <c r="J56" s="49">
        <v>1538</v>
      </c>
      <c r="K56" s="49">
        <v>2720</v>
      </c>
      <c r="L56" s="2">
        <v>13801</v>
      </c>
      <c r="M56" s="2">
        <v>6210</v>
      </c>
      <c r="N56" s="2">
        <v>7591</v>
      </c>
      <c r="O56" s="16">
        <f t="shared" si="3"/>
        <v>44.996739366712561</v>
      </c>
      <c r="P56" s="14">
        <f t="shared" si="0"/>
        <v>55.003260633287439</v>
      </c>
      <c r="Q56" s="9" t="s">
        <v>72</v>
      </c>
      <c r="R56" s="19">
        <f t="shared" si="13"/>
        <v>1.2223832528180352</v>
      </c>
      <c r="S56" s="9">
        <f t="shared" si="12"/>
        <v>1.2</v>
      </c>
      <c r="W56" s="41"/>
      <c r="X56" s="40"/>
      <c r="Y56" s="41"/>
      <c r="Z56" s="41"/>
      <c r="AA56" s="40"/>
      <c r="AB56" s="43"/>
      <c r="AC56" s="40"/>
      <c r="AD56" s="40"/>
      <c r="AE56" s="41"/>
    </row>
    <row r="57" spans="1:31" ht="15.5" x14ac:dyDescent="0.35">
      <c r="A57" s="1" t="s">
        <v>30</v>
      </c>
      <c r="B57" s="25">
        <v>12</v>
      </c>
      <c r="C57" s="49">
        <v>1513</v>
      </c>
      <c r="D57" s="49">
        <v>3330</v>
      </c>
      <c r="E57" s="49">
        <v>4843</v>
      </c>
      <c r="F57" s="49">
        <v>1508</v>
      </c>
      <c r="G57" s="49">
        <v>2426</v>
      </c>
      <c r="H57" s="51">
        <v>3934</v>
      </c>
      <c r="I57" s="48">
        <v>789</v>
      </c>
      <c r="J57" s="49">
        <v>1924</v>
      </c>
      <c r="K57" s="49">
        <v>2713</v>
      </c>
      <c r="L57" s="2">
        <v>11490</v>
      </c>
      <c r="M57" s="2">
        <v>3810</v>
      </c>
      <c r="N57" s="2">
        <v>7680</v>
      </c>
      <c r="O57" s="16">
        <f t="shared" si="3"/>
        <v>33.159268929503916</v>
      </c>
      <c r="P57" s="14">
        <f t="shared" si="0"/>
        <v>66.840731070496091</v>
      </c>
      <c r="Q57" s="9" t="s">
        <v>72</v>
      </c>
      <c r="R57" s="19">
        <f t="shared" si="13"/>
        <v>2.0157480314960634</v>
      </c>
      <c r="S57" s="9">
        <f t="shared" si="12"/>
        <v>2</v>
      </c>
      <c r="W57" s="41"/>
      <c r="X57" s="41"/>
      <c r="Y57" s="41"/>
      <c r="Z57" s="41"/>
      <c r="AA57" s="41"/>
      <c r="AB57" s="43"/>
      <c r="AC57" s="41"/>
      <c r="AD57" s="41"/>
      <c r="AE57" s="41"/>
    </row>
    <row r="58" spans="1:31" ht="15.5" x14ac:dyDescent="0.35">
      <c r="A58" s="1" t="s">
        <v>17</v>
      </c>
      <c r="B58" s="25">
        <v>12</v>
      </c>
      <c r="C58" s="48">
        <v>868</v>
      </c>
      <c r="D58" s="48">
        <v>536</v>
      </c>
      <c r="E58" s="49">
        <v>1404</v>
      </c>
      <c r="F58" s="48">
        <v>730</v>
      </c>
      <c r="G58" s="48">
        <v>563</v>
      </c>
      <c r="H58" s="51">
        <v>1293</v>
      </c>
      <c r="I58" s="48">
        <v>626</v>
      </c>
      <c r="J58" s="48">
        <v>440</v>
      </c>
      <c r="K58" s="49">
        <v>1066</v>
      </c>
      <c r="L58" s="2">
        <v>3763</v>
      </c>
      <c r="M58" s="2">
        <v>2224</v>
      </c>
      <c r="N58" s="2">
        <v>1539</v>
      </c>
      <c r="O58" s="16">
        <f t="shared" si="3"/>
        <v>59.101780494286473</v>
      </c>
      <c r="P58" s="14">
        <f t="shared" si="0"/>
        <v>40.898219505713527</v>
      </c>
      <c r="Q58" s="9" t="s">
        <v>72</v>
      </c>
      <c r="R58" s="19">
        <f t="shared" si="13"/>
        <v>0.69199640287769781</v>
      </c>
      <c r="S58" s="9">
        <f t="shared" si="12"/>
        <v>0.7</v>
      </c>
      <c r="W58" s="41"/>
      <c r="X58" s="41"/>
      <c r="Y58" s="41"/>
      <c r="Z58" s="41"/>
      <c r="AA58" s="41"/>
      <c r="AB58" s="43"/>
      <c r="AC58" s="40"/>
      <c r="AD58" s="41"/>
      <c r="AE58" s="41"/>
    </row>
    <row r="59" spans="1:31" ht="15.5" x14ac:dyDescent="0.35">
      <c r="A59" s="1" t="s">
        <v>16</v>
      </c>
      <c r="B59" s="25">
        <v>20</v>
      </c>
      <c r="C59" s="49">
        <v>1104</v>
      </c>
      <c r="D59" s="48">
        <v>932</v>
      </c>
      <c r="E59" s="49">
        <v>2036</v>
      </c>
      <c r="F59" s="49">
        <v>1105</v>
      </c>
      <c r="G59" s="48">
        <v>810</v>
      </c>
      <c r="H59" s="51">
        <v>1915</v>
      </c>
      <c r="I59" s="49">
        <v>1081</v>
      </c>
      <c r="J59" s="48">
        <v>804</v>
      </c>
      <c r="K59" s="49">
        <v>1885</v>
      </c>
      <c r="L59" s="2">
        <v>5836</v>
      </c>
      <c r="M59" s="2">
        <v>3290</v>
      </c>
      <c r="N59" s="2">
        <v>2546</v>
      </c>
      <c r="O59" s="16">
        <f t="shared" si="3"/>
        <v>56.374228923920491</v>
      </c>
      <c r="P59" s="14">
        <f t="shared" si="0"/>
        <v>43.625771076079509</v>
      </c>
      <c r="Q59" s="9" t="s">
        <v>72</v>
      </c>
      <c r="R59" s="19">
        <f t="shared" si="13"/>
        <v>0.77386018237082077</v>
      </c>
      <c r="S59" s="9">
        <f t="shared" si="12"/>
        <v>0.8</v>
      </c>
      <c r="W59" s="40"/>
      <c r="X59" s="40"/>
      <c r="Y59" s="41"/>
      <c r="Z59" s="40"/>
      <c r="AA59" s="40"/>
      <c r="AB59" s="43"/>
      <c r="AC59" s="40"/>
      <c r="AD59" s="40"/>
      <c r="AE59" s="41"/>
    </row>
    <row r="60" spans="1:31" ht="15.5" x14ac:dyDescent="0.35">
      <c r="A60" s="1" t="s">
        <v>18</v>
      </c>
      <c r="B60" s="25">
        <v>13</v>
      </c>
      <c r="C60" s="49">
        <v>1137</v>
      </c>
      <c r="D60" s="48">
        <v>815</v>
      </c>
      <c r="E60" s="49">
        <v>1952</v>
      </c>
      <c r="F60" s="48">
        <v>992</v>
      </c>
      <c r="G60" s="48">
        <v>770</v>
      </c>
      <c r="H60" s="51">
        <v>1762</v>
      </c>
      <c r="I60" s="48">
        <v>914</v>
      </c>
      <c r="J60" s="48">
        <v>685</v>
      </c>
      <c r="K60" s="49">
        <v>1599</v>
      </c>
      <c r="L60" s="2">
        <v>5313</v>
      </c>
      <c r="M60" s="2">
        <v>3043</v>
      </c>
      <c r="N60" s="2">
        <v>2270</v>
      </c>
      <c r="O60" s="16">
        <f t="shared" si="3"/>
        <v>57.274609448522497</v>
      </c>
      <c r="P60" s="14">
        <f t="shared" si="0"/>
        <v>42.72539055147751</v>
      </c>
      <c r="Q60" s="9" t="s">
        <v>72</v>
      </c>
      <c r="R60" s="19">
        <f t="shared" si="13"/>
        <v>0.74597436740059153</v>
      </c>
      <c r="S60" s="9">
        <f t="shared" si="12"/>
        <v>0.7</v>
      </c>
      <c r="W60" s="41"/>
      <c r="X60" s="40"/>
      <c r="Y60" s="41"/>
      <c r="Z60" s="41"/>
      <c r="AA60" s="40"/>
      <c r="AB60" s="43"/>
      <c r="AC60" s="41"/>
      <c r="AD60" s="40"/>
      <c r="AE60" s="41"/>
    </row>
    <row r="61" spans="1:31" ht="15.5" x14ac:dyDescent="0.35">
      <c r="A61" s="1" t="s">
        <v>19</v>
      </c>
      <c r="B61" s="25">
        <v>13</v>
      </c>
      <c r="C61" s="48">
        <v>698</v>
      </c>
      <c r="D61" s="48">
        <v>377</v>
      </c>
      <c r="E61" s="49">
        <v>1075</v>
      </c>
      <c r="F61" s="48">
        <v>751</v>
      </c>
      <c r="G61" s="48">
        <v>384</v>
      </c>
      <c r="H61" s="51">
        <v>1135</v>
      </c>
      <c r="I61" s="48">
        <v>648</v>
      </c>
      <c r="J61" s="48">
        <v>406</v>
      </c>
      <c r="K61" s="49">
        <v>1054</v>
      </c>
      <c r="L61" s="2">
        <v>3264</v>
      </c>
      <c r="M61" s="2">
        <v>2097</v>
      </c>
      <c r="N61" s="2">
        <v>1167</v>
      </c>
      <c r="O61" s="16">
        <f t="shared" si="3"/>
        <v>64.246323529411768</v>
      </c>
      <c r="P61" s="14">
        <f t="shared" si="0"/>
        <v>35.753676470588239</v>
      </c>
      <c r="Q61" s="9" t="s">
        <v>72</v>
      </c>
      <c r="R61" s="19">
        <f t="shared" si="13"/>
        <v>0.55650929899856938</v>
      </c>
      <c r="S61" s="9">
        <f t="shared" si="12"/>
        <v>0.6</v>
      </c>
      <c r="W61" s="41"/>
      <c r="X61" s="40"/>
      <c r="Y61" s="41"/>
      <c r="Z61" s="40"/>
      <c r="AA61" s="40"/>
      <c r="AB61" s="43"/>
      <c r="AC61" s="40"/>
      <c r="AD61" s="40"/>
      <c r="AE61" s="41"/>
    </row>
    <row r="62" spans="1:31" ht="15.5" x14ac:dyDescent="0.35">
      <c r="A62" s="1" t="s">
        <v>20</v>
      </c>
      <c r="B62" s="25">
        <v>10</v>
      </c>
      <c r="C62" s="48">
        <v>823</v>
      </c>
      <c r="D62" s="48">
        <v>483</v>
      </c>
      <c r="E62" s="49">
        <v>1306</v>
      </c>
      <c r="F62" s="48">
        <v>916</v>
      </c>
      <c r="G62" s="48">
        <v>435</v>
      </c>
      <c r="H62" s="51">
        <v>1351</v>
      </c>
      <c r="I62" s="48">
        <v>806</v>
      </c>
      <c r="J62" s="48">
        <v>574</v>
      </c>
      <c r="K62" s="49">
        <v>1380</v>
      </c>
      <c r="L62" s="2">
        <v>4037</v>
      </c>
      <c r="M62" s="2">
        <v>2545</v>
      </c>
      <c r="N62" s="2">
        <v>1492</v>
      </c>
      <c r="O62" s="16">
        <f t="shared" si="3"/>
        <v>63.041862769383208</v>
      </c>
      <c r="P62" s="14">
        <f t="shared" si="0"/>
        <v>36.958137230616792</v>
      </c>
      <c r="Q62" s="9" t="s">
        <v>72</v>
      </c>
      <c r="R62" s="19">
        <f t="shared" si="13"/>
        <v>0.58624754420432212</v>
      </c>
      <c r="S62" s="9">
        <f t="shared" si="12"/>
        <v>0.6</v>
      </c>
      <c r="W62" s="40"/>
      <c r="X62" s="40"/>
      <c r="Y62" s="41"/>
      <c r="Z62" s="40"/>
      <c r="AA62" s="40"/>
      <c r="AB62" s="43"/>
      <c r="AC62" s="40"/>
      <c r="AD62" s="40"/>
      <c r="AE62" s="41"/>
    </row>
    <row r="63" spans="1:31" ht="15.5" x14ac:dyDescent="0.35">
      <c r="A63" s="1" t="s">
        <v>21</v>
      </c>
      <c r="B63" s="25">
        <v>4</v>
      </c>
      <c r="C63" s="48">
        <v>395</v>
      </c>
      <c r="D63" s="48">
        <v>168</v>
      </c>
      <c r="E63" s="48">
        <v>563</v>
      </c>
      <c r="F63" s="48">
        <v>492</v>
      </c>
      <c r="G63" s="48">
        <v>144</v>
      </c>
      <c r="H63" s="50">
        <v>636</v>
      </c>
      <c r="I63" s="48">
        <v>466</v>
      </c>
      <c r="J63" s="48">
        <v>142</v>
      </c>
      <c r="K63" s="48">
        <v>608</v>
      </c>
      <c r="L63" s="2">
        <v>1807</v>
      </c>
      <c r="M63" s="2">
        <v>1353</v>
      </c>
      <c r="N63" s="3">
        <v>454</v>
      </c>
      <c r="O63" s="16">
        <f t="shared" si="3"/>
        <v>74.875484228002207</v>
      </c>
      <c r="P63" s="14">
        <f t="shared" si="0"/>
        <v>25.124515771997785</v>
      </c>
      <c r="Q63" s="9" t="s">
        <v>72</v>
      </c>
      <c r="R63" s="19">
        <f t="shared" si="13"/>
        <v>0.33555062823355508</v>
      </c>
      <c r="S63" s="9">
        <f t="shared" si="12"/>
        <v>0.3</v>
      </c>
      <c r="W63" s="40"/>
      <c r="X63" s="40"/>
      <c r="Y63" s="41"/>
      <c r="Z63" s="40"/>
      <c r="AA63" s="40"/>
      <c r="AB63" s="43"/>
      <c r="AC63" s="40"/>
      <c r="AD63" s="40"/>
      <c r="AE63" s="41"/>
    </row>
    <row r="64" spans="1:31" ht="15.5" x14ac:dyDescent="0.35">
      <c r="A64" s="1" t="s">
        <v>22</v>
      </c>
      <c r="B64" s="25">
        <v>16</v>
      </c>
      <c r="C64" s="49">
        <v>1381</v>
      </c>
      <c r="D64" s="48">
        <v>837</v>
      </c>
      <c r="E64" s="49">
        <v>2218</v>
      </c>
      <c r="F64" s="49">
        <v>1390</v>
      </c>
      <c r="G64" s="48">
        <v>761</v>
      </c>
      <c r="H64" s="51">
        <v>2151</v>
      </c>
      <c r="I64" s="48">
        <v>975</v>
      </c>
      <c r="J64" s="48">
        <v>537</v>
      </c>
      <c r="K64" s="49">
        <v>1512</v>
      </c>
      <c r="L64" s="2">
        <v>5881</v>
      </c>
      <c r="M64" s="2">
        <v>3746</v>
      </c>
      <c r="N64" s="2">
        <v>2135</v>
      </c>
      <c r="O64" s="16">
        <f t="shared" si="3"/>
        <v>63.696650229552802</v>
      </c>
      <c r="P64" s="14">
        <f t="shared" si="0"/>
        <v>36.303349770447198</v>
      </c>
      <c r="Q64" s="9" t="s">
        <v>72</v>
      </c>
      <c r="R64" s="19">
        <f t="shared" si="13"/>
        <v>0.56994127068873457</v>
      </c>
      <c r="S64" s="9">
        <f t="shared" si="12"/>
        <v>0.6</v>
      </c>
      <c r="W64" s="40"/>
      <c r="X64" s="40"/>
      <c r="Y64" s="40"/>
      <c r="Z64" s="40"/>
      <c r="AA64" s="40"/>
      <c r="AB64" s="42"/>
      <c r="AC64" s="40"/>
      <c r="AD64" s="40"/>
      <c r="AE64" s="40"/>
    </row>
    <row r="65" spans="1:31" ht="15.5" x14ac:dyDescent="0.35">
      <c r="A65" s="1" t="s">
        <v>23</v>
      </c>
      <c r="B65" s="25">
        <v>6</v>
      </c>
      <c r="C65" s="48">
        <v>728</v>
      </c>
      <c r="D65" s="48">
        <v>230</v>
      </c>
      <c r="E65" s="48">
        <v>958</v>
      </c>
      <c r="F65" s="48">
        <v>668</v>
      </c>
      <c r="G65" s="48">
        <v>264</v>
      </c>
      <c r="H65" s="50">
        <v>932</v>
      </c>
      <c r="I65" s="48">
        <v>384</v>
      </c>
      <c r="J65" s="48">
        <v>92</v>
      </c>
      <c r="K65" s="48">
        <v>476</v>
      </c>
      <c r="L65" s="2">
        <v>2366</v>
      </c>
      <c r="M65" s="2">
        <v>1780</v>
      </c>
      <c r="N65" s="3">
        <v>586</v>
      </c>
      <c r="O65" s="16">
        <f t="shared" si="3"/>
        <v>75.232459847844467</v>
      </c>
      <c r="P65" s="14">
        <f t="shared" si="0"/>
        <v>24.767540152155537</v>
      </c>
      <c r="Q65" s="9" t="s">
        <v>72</v>
      </c>
      <c r="R65" s="19">
        <f t="shared" si="13"/>
        <v>0.32921348314606741</v>
      </c>
      <c r="S65" s="9">
        <f t="shared" si="12"/>
        <v>0.3</v>
      </c>
      <c r="W65" s="41"/>
      <c r="X65" s="40"/>
      <c r="Y65" s="41"/>
      <c r="Z65" s="41"/>
      <c r="AA65" s="40"/>
      <c r="AB65" s="43"/>
      <c r="AC65" s="40"/>
      <c r="AD65" s="40"/>
      <c r="AE65" s="41"/>
    </row>
    <row r="66" spans="1:31" ht="15.5" x14ac:dyDescent="0.35">
      <c r="A66" s="1" t="s">
        <v>31</v>
      </c>
      <c r="B66" s="25">
        <v>11</v>
      </c>
      <c r="C66" s="49">
        <v>1422</v>
      </c>
      <c r="D66" s="49">
        <v>1663</v>
      </c>
      <c r="E66" s="49">
        <v>3085</v>
      </c>
      <c r="F66" s="49">
        <v>1352</v>
      </c>
      <c r="G66" s="49">
        <v>1504</v>
      </c>
      <c r="H66" s="51">
        <v>2856</v>
      </c>
      <c r="I66" s="48">
        <v>832</v>
      </c>
      <c r="J66" s="49">
        <v>1173</v>
      </c>
      <c r="K66" s="49">
        <v>2005</v>
      </c>
      <c r="L66" s="2">
        <v>7946</v>
      </c>
      <c r="M66" s="2">
        <v>3606</v>
      </c>
      <c r="N66" s="2">
        <v>4340</v>
      </c>
      <c r="O66" s="16">
        <f t="shared" si="3"/>
        <v>45.38132393657186</v>
      </c>
      <c r="P66" s="14">
        <f t="shared" ref="P66:P129" si="14">N66/L66*100</f>
        <v>54.61867606342814</v>
      </c>
      <c r="Q66" s="9" t="s">
        <v>72</v>
      </c>
      <c r="R66" s="19">
        <f t="shared" si="13"/>
        <v>1.2035496394897394</v>
      </c>
      <c r="S66" s="9">
        <f t="shared" si="12"/>
        <v>1.2</v>
      </c>
      <c r="W66" s="40"/>
      <c r="X66" s="40"/>
      <c r="Y66" s="40"/>
      <c r="Z66" s="40"/>
      <c r="AA66" s="40"/>
      <c r="AB66" s="42"/>
      <c r="AC66" s="40"/>
      <c r="AD66" s="40"/>
      <c r="AE66" s="40"/>
    </row>
    <row r="67" spans="1:31" ht="15.5" x14ac:dyDescent="0.35">
      <c r="A67" s="1" t="s">
        <v>25</v>
      </c>
      <c r="B67" s="25">
        <v>16</v>
      </c>
      <c r="C67" s="48">
        <v>757</v>
      </c>
      <c r="D67" s="48">
        <v>704</v>
      </c>
      <c r="E67" s="49">
        <v>1461</v>
      </c>
      <c r="F67" s="48">
        <v>737</v>
      </c>
      <c r="G67" s="48">
        <v>648</v>
      </c>
      <c r="H67" s="51">
        <v>1385</v>
      </c>
      <c r="I67" s="48">
        <v>715</v>
      </c>
      <c r="J67" s="48">
        <v>574</v>
      </c>
      <c r="K67" s="49">
        <v>1289</v>
      </c>
      <c r="L67" s="2">
        <v>4135</v>
      </c>
      <c r="M67" s="2">
        <v>2209</v>
      </c>
      <c r="N67" s="2">
        <v>1926</v>
      </c>
      <c r="O67" s="16">
        <f t="shared" ref="O67:O130" si="15">M67/L67*100</f>
        <v>53.422007255139057</v>
      </c>
      <c r="P67" s="14">
        <f t="shared" si="14"/>
        <v>46.577992744860943</v>
      </c>
      <c r="Q67" s="9" t="s">
        <v>72</v>
      </c>
      <c r="R67" s="19">
        <f t="shared" si="13"/>
        <v>0.87188773200543235</v>
      </c>
      <c r="S67" s="9">
        <f t="shared" si="12"/>
        <v>0.9</v>
      </c>
      <c r="W67" s="41"/>
      <c r="X67" s="41"/>
      <c r="Y67" s="41"/>
      <c r="Z67" s="41"/>
      <c r="AA67" s="41"/>
      <c r="AB67" s="43"/>
      <c r="AC67" s="40"/>
      <c r="AD67" s="41"/>
      <c r="AE67" s="41"/>
    </row>
    <row r="68" spans="1:31" ht="15.5" x14ac:dyDescent="0.35">
      <c r="A68" s="1" t="s">
        <v>26</v>
      </c>
      <c r="B68" s="25">
        <v>10</v>
      </c>
      <c r="C68" s="48">
        <v>567</v>
      </c>
      <c r="D68" s="48">
        <v>164</v>
      </c>
      <c r="E68" s="48">
        <v>731</v>
      </c>
      <c r="F68" s="48">
        <v>522</v>
      </c>
      <c r="G68" s="48">
        <v>125</v>
      </c>
      <c r="H68" s="50">
        <v>647</v>
      </c>
      <c r="I68" s="48">
        <v>465</v>
      </c>
      <c r="J68" s="48">
        <v>65</v>
      </c>
      <c r="K68" s="48">
        <v>530</v>
      </c>
      <c r="L68" s="2">
        <v>1908</v>
      </c>
      <c r="M68" s="2">
        <v>1554</v>
      </c>
      <c r="N68" s="3">
        <v>354</v>
      </c>
      <c r="O68" s="16">
        <f t="shared" si="15"/>
        <v>81.44654088050315</v>
      </c>
      <c r="P68" s="14">
        <f t="shared" si="14"/>
        <v>18.553459119496853</v>
      </c>
      <c r="Q68" s="9" t="s">
        <v>72</v>
      </c>
      <c r="R68" s="19">
        <f t="shared" si="13"/>
        <v>0.22779922779922776</v>
      </c>
      <c r="S68" s="9">
        <f t="shared" si="12"/>
        <v>0.2</v>
      </c>
      <c r="W68" s="40"/>
      <c r="X68" s="40"/>
      <c r="Y68" s="41"/>
      <c r="Z68" s="40"/>
      <c r="AA68" s="40"/>
      <c r="AB68" s="43"/>
      <c r="AC68" s="40"/>
      <c r="AD68" s="40"/>
      <c r="AE68" s="41"/>
    </row>
    <row r="69" spans="1:31" ht="15.5" x14ac:dyDescent="0.35">
      <c r="A69" s="1" t="s">
        <v>32</v>
      </c>
      <c r="B69" s="25">
        <v>40</v>
      </c>
      <c r="C69" s="49">
        <v>1572</v>
      </c>
      <c r="D69" s="49">
        <v>1367</v>
      </c>
      <c r="E69" s="49">
        <v>2939</v>
      </c>
      <c r="F69" s="49">
        <v>1502</v>
      </c>
      <c r="G69" s="49">
        <v>1294</v>
      </c>
      <c r="H69" s="51">
        <v>2796</v>
      </c>
      <c r="I69" s="49">
        <v>1142</v>
      </c>
      <c r="J69" s="49">
        <v>1074</v>
      </c>
      <c r="K69" s="49">
        <v>2216</v>
      </c>
      <c r="L69" s="2">
        <v>7951</v>
      </c>
      <c r="M69" s="2">
        <v>4216</v>
      </c>
      <c r="N69" s="2">
        <v>3735</v>
      </c>
      <c r="O69" s="16">
        <f t="shared" si="15"/>
        <v>53.024776757640545</v>
      </c>
      <c r="P69" s="14">
        <f t="shared" si="14"/>
        <v>46.975223242359455</v>
      </c>
      <c r="Q69" s="9" t="s">
        <v>72</v>
      </c>
      <c r="R69" s="19">
        <f t="shared" si="13"/>
        <v>0.88591081593927901</v>
      </c>
      <c r="S69" s="9">
        <f t="shared" si="12"/>
        <v>0.9</v>
      </c>
      <c r="W69" s="40"/>
      <c r="X69" s="40"/>
      <c r="Y69" s="40"/>
      <c r="Z69" s="40"/>
      <c r="AA69" s="40"/>
      <c r="AB69" s="42"/>
      <c r="AC69" s="40"/>
      <c r="AD69" s="40"/>
      <c r="AE69" s="40"/>
    </row>
    <row r="70" spans="1:31" ht="15.5" x14ac:dyDescent="0.35">
      <c r="A70" s="1" t="s">
        <v>28</v>
      </c>
      <c r="B70" s="25">
        <v>15</v>
      </c>
      <c r="C70" s="52">
        <v>3549</v>
      </c>
      <c r="D70" s="52">
        <v>2016</v>
      </c>
      <c r="E70" s="52">
        <v>5565</v>
      </c>
      <c r="F70" s="52">
        <v>2670</v>
      </c>
      <c r="G70" s="52">
        <v>1776</v>
      </c>
      <c r="H70" s="53">
        <v>4446</v>
      </c>
      <c r="I70" s="52">
        <v>2020</v>
      </c>
      <c r="J70" s="52">
        <v>1104</v>
      </c>
      <c r="K70" s="52">
        <v>3124</v>
      </c>
      <c r="L70" s="2">
        <v>13135</v>
      </c>
      <c r="M70" s="2">
        <f t="shared" ref="M70:M101" si="16">L70-N70</f>
        <v>8239</v>
      </c>
      <c r="N70" s="2">
        <v>4896</v>
      </c>
      <c r="O70" s="16">
        <f t="shared" si="15"/>
        <v>62.725542443852298</v>
      </c>
      <c r="P70" s="14">
        <f t="shared" si="14"/>
        <v>37.274457556147695</v>
      </c>
      <c r="Q70" s="9" t="s">
        <v>72</v>
      </c>
      <c r="R70" s="19">
        <f t="shared" si="13"/>
        <v>0.59424687462070647</v>
      </c>
      <c r="S70" s="9">
        <f t="shared" si="12"/>
        <v>0.6</v>
      </c>
      <c r="W70" s="41"/>
      <c r="X70" s="41"/>
      <c r="Y70" s="41"/>
      <c r="Z70" s="41"/>
      <c r="AA70" s="41"/>
      <c r="AB70" s="43"/>
      <c r="AC70" s="41"/>
      <c r="AD70" s="41"/>
      <c r="AE70" s="41"/>
    </row>
    <row r="71" spans="1:31" ht="15.5" x14ac:dyDescent="0.35">
      <c r="A71" s="1" t="s">
        <v>6</v>
      </c>
      <c r="B71" s="26">
        <v>7</v>
      </c>
      <c r="C71" s="54">
        <v>726</v>
      </c>
      <c r="D71" s="54">
        <v>394</v>
      </c>
      <c r="E71" s="55">
        <v>1120</v>
      </c>
      <c r="F71" s="54">
        <v>745</v>
      </c>
      <c r="G71" s="54">
        <v>320</v>
      </c>
      <c r="H71" s="55">
        <v>1065</v>
      </c>
      <c r="I71" s="54">
        <v>571</v>
      </c>
      <c r="J71" s="54">
        <v>238</v>
      </c>
      <c r="K71" s="54">
        <v>809</v>
      </c>
      <c r="L71" s="8">
        <v>2994</v>
      </c>
      <c r="M71" s="2">
        <f t="shared" si="16"/>
        <v>2042</v>
      </c>
      <c r="N71" s="7">
        <v>952</v>
      </c>
      <c r="O71" s="16">
        <f t="shared" si="15"/>
        <v>68.203072812291254</v>
      </c>
      <c r="P71" s="14">
        <f t="shared" si="14"/>
        <v>31.79692718770875</v>
      </c>
      <c r="Q71" s="9" t="s">
        <v>73</v>
      </c>
      <c r="R71" s="19">
        <f t="shared" si="13"/>
        <v>0.46620959843290888</v>
      </c>
      <c r="S71" s="9">
        <f t="shared" si="12"/>
        <v>0.5</v>
      </c>
      <c r="W71" s="44"/>
      <c r="X71" s="44"/>
      <c r="Y71" s="44"/>
      <c r="Z71" s="44"/>
      <c r="AA71" s="44"/>
      <c r="AB71" s="45"/>
      <c r="AC71" s="44"/>
      <c r="AD71" s="44"/>
      <c r="AE71" s="44"/>
    </row>
    <row r="72" spans="1:31" ht="15.5" x14ac:dyDescent="0.35">
      <c r="A72" s="1" t="s">
        <v>7</v>
      </c>
      <c r="B72" s="25">
        <v>16</v>
      </c>
      <c r="C72" s="55">
        <v>1989</v>
      </c>
      <c r="D72" s="55">
        <v>2265</v>
      </c>
      <c r="E72" s="55">
        <v>4254</v>
      </c>
      <c r="F72" s="55">
        <v>1676</v>
      </c>
      <c r="G72" s="55">
        <v>1984</v>
      </c>
      <c r="H72" s="55">
        <v>3660</v>
      </c>
      <c r="I72" s="55">
        <v>1234</v>
      </c>
      <c r="J72" s="55">
        <v>1093</v>
      </c>
      <c r="K72" s="55">
        <v>2327</v>
      </c>
      <c r="L72" s="8">
        <v>10241</v>
      </c>
      <c r="M72" s="2">
        <f t="shared" si="16"/>
        <v>4899</v>
      </c>
      <c r="N72" s="8">
        <v>5342</v>
      </c>
      <c r="O72" s="16">
        <f t="shared" si="15"/>
        <v>47.837125280734305</v>
      </c>
      <c r="P72" s="14">
        <f t="shared" si="14"/>
        <v>52.162874719265695</v>
      </c>
      <c r="Q72" s="9" t="s">
        <v>73</v>
      </c>
      <c r="R72" s="19">
        <f t="shared" si="13"/>
        <v>1.0904266176770769</v>
      </c>
      <c r="S72" s="9">
        <f t="shared" si="12"/>
        <v>1.1000000000000001</v>
      </c>
      <c r="W72" s="46"/>
      <c r="X72" s="46"/>
      <c r="Y72" s="46"/>
      <c r="Z72" s="46"/>
      <c r="AA72" s="46"/>
      <c r="AB72" s="47"/>
      <c r="AC72" s="46"/>
      <c r="AD72" s="46"/>
      <c r="AE72" s="46"/>
    </row>
    <row r="73" spans="1:31" ht="15.5" x14ac:dyDescent="0.35">
      <c r="A73" s="1" t="s">
        <v>8</v>
      </c>
      <c r="B73" s="25">
        <v>8</v>
      </c>
      <c r="C73" s="54">
        <v>969</v>
      </c>
      <c r="D73" s="54">
        <v>806</v>
      </c>
      <c r="E73" s="55">
        <v>1775</v>
      </c>
      <c r="F73" s="54">
        <v>729</v>
      </c>
      <c r="G73" s="54">
        <v>439</v>
      </c>
      <c r="H73" s="55">
        <v>1168</v>
      </c>
      <c r="I73" s="54">
        <v>877</v>
      </c>
      <c r="J73" s="54">
        <v>461</v>
      </c>
      <c r="K73" s="55">
        <v>1338</v>
      </c>
      <c r="L73" s="8">
        <v>4281</v>
      </c>
      <c r="M73" s="2">
        <f t="shared" si="16"/>
        <v>2575</v>
      </c>
      <c r="N73" s="8">
        <v>1706</v>
      </c>
      <c r="O73" s="16">
        <f t="shared" si="15"/>
        <v>60.149497780892311</v>
      </c>
      <c r="P73" s="14">
        <f t="shared" si="14"/>
        <v>39.850502219107689</v>
      </c>
      <c r="Q73" s="9" t="s">
        <v>73</v>
      </c>
      <c r="R73" s="19">
        <f t="shared" si="13"/>
        <v>0.66252427184466034</v>
      </c>
      <c r="S73" s="9">
        <f t="shared" si="12"/>
        <v>0.7</v>
      </c>
    </row>
    <row r="74" spans="1:31" ht="15.5" x14ac:dyDescent="0.35">
      <c r="A74" s="1" t="s">
        <v>9</v>
      </c>
      <c r="B74" s="25">
        <v>15</v>
      </c>
      <c r="C74" s="55">
        <v>1180</v>
      </c>
      <c r="D74" s="54">
        <v>910</v>
      </c>
      <c r="E74" s="55">
        <v>2090</v>
      </c>
      <c r="F74" s="55">
        <v>1293</v>
      </c>
      <c r="G74" s="54">
        <v>877</v>
      </c>
      <c r="H74" s="55">
        <v>2170</v>
      </c>
      <c r="I74" s="54">
        <v>956</v>
      </c>
      <c r="J74" s="54">
        <v>592</v>
      </c>
      <c r="K74" s="55">
        <v>1548</v>
      </c>
      <c r="L74" s="8">
        <v>5808</v>
      </c>
      <c r="M74" s="2">
        <f t="shared" si="16"/>
        <v>3429</v>
      </c>
      <c r="N74" s="8">
        <v>2379</v>
      </c>
      <c r="O74" s="16">
        <f t="shared" si="15"/>
        <v>59.039256198347111</v>
      </c>
      <c r="P74" s="14">
        <f t="shared" si="14"/>
        <v>40.960743801652896</v>
      </c>
      <c r="Q74" s="9" t="s">
        <v>73</v>
      </c>
      <c r="R74" s="19">
        <f t="shared" si="13"/>
        <v>0.69378827646544183</v>
      </c>
      <c r="S74" s="9">
        <f t="shared" si="12"/>
        <v>0.7</v>
      </c>
    </row>
    <row r="75" spans="1:31" ht="15.5" x14ac:dyDescent="0.35">
      <c r="A75" s="1" t="s">
        <v>10</v>
      </c>
      <c r="B75" s="25">
        <v>10</v>
      </c>
      <c r="C75" s="55">
        <v>1152</v>
      </c>
      <c r="D75" s="54">
        <v>715</v>
      </c>
      <c r="E75" s="55">
        <v>1867</v>
      </c>
      <c r="F75" s="54">
        <v>794</v>
      </c>
      <c r="G75" s="54">
        <v>451</v>
      </c>
      <c r="H75" s="55">
        <v>1245</v>
      </c>
      <c r="I75" s="54">
        <v>666</v>
      </c>
      <c r="J75" s="54">
        <v>433</v>
      </c>
      <c r="K75" s="55">
        <v>1099</v>
      </c>
      <c r="L75" s="8">
        <v>4211</v>
      </c>
      <c r="M75" s="2">
        <f t="shared" si="16"/>
        <v>2612</v>
      </c>
      <c r="N75" s="8">
        <v>1599</v>
      </c>
      <c r="O75" s="16">
        <f t="shared" si="15"/>
        <v>62.028021847542149</v>
      </c>
      <c r="P75" s="14">
        <f t="shared" si="14"/>
        <v>37.971978152457844</v>
      </c>
      <c r="Q75" s="9" t="s">
        <v>73</v>
      </c>
      <c r="R75" s="19">
        <f t="shared" si="13"/>
        <v>0.61217457886676874</v>
      </c>
      <c r="S75" s="9">
        <f t="shared" si="12"/>
        <v>0.6</v>
      </c>
    </row>
    <row r="76" spans="1:31" ht="15.5" x14ac:dyDescent="0.35">
      <c r="A76" s="1" t="s">
        <v>11</v>
      </c>
      <c r="B76" s="25">
        <v>14</v>
      </c>
      <c r="C76" s="54">
        <v>497</v>
      </c>
      <c r="D76" s="54">
        <v>888</v>
      </c>
      <c r="E76" s="55">
        <v>1385</v>
      </c>
      <c r="F76" s="54">
        <v>511</v>
      </c>
      <c r="G76" s="54">
        <v>904</v>
      </c>
      <c r="H76" s="55">
        <v>1415</v>
      </c>
      <c r="I76" s="54">
        <v>424</v>
      </c>
      <c r="J76" s="54">
        <v>735</v>
      </c>
      <c r="K76" s="55">
        <v>1159</v>
      </c>
      <c r="L76" s="8">
        <v>3959</v>
      </c>
      <c r="M76" s="2">
        <f t="shared" si="16"/>
        <v>1432</v>
      </c>
      <c r="N76" s="8">
        <v>2527</v>
      </c>
      <c r="O76" s="16">
        <f t="shared" si="15"/>
        <v>36.170750189441783</v>
      </c>
      <c r="P76" s="14">
        <f t="shared" si="14"/>
        <v>63.829249810558217</v>
      </c>
      <c r="Q76" s="9" t="s">
        <v>73</v>
      </c>
      <c r="R76" s="19">
        <f t="shared" si="13"/>
        <v>1.7646648044692734</v>
      </c>
      <c r="S76" s="9">
        <f t="shared" si="12"/>
        <v>1.8</v>
      </c>
    </row>
    <row r="77" spans="1:31" ht="15.5" x14ac:dyDescent="0.35">
      <c r="A77" s="1" t="s">
        <v>12</v>
      </c>
      <c r="B77" s="25">
        <v>20</v>
      </c>
      <c r="C77" s="55">
        <v>1181</v>
      </c>
      <c r="D77" s="55">
        <v>1245</v>
      </c>
      <c r="E77" s="55">
        <v>2426</v>
      </c>
      <c r="F77" s="55">
        <v>1090</v>
      </c>
      <c r="G77" s="55">
        <v>1168</v>
      </c>
      <c r="H77" s="55">
        <v>2258</v>
      </c>
      <c r="I77" s="55">
        <v>1163</v>
      </c>
      <c r="J77" s="55">
        <v>1160</v>
      </c>
      <c r="K77" s="55">
        <v>2323</v>
      </c>
      <c r="L77" s="8">
        <v>7007</v>
      </c>
      <c r="M77" s="2">
        <f t="shared" si="16"/>
        <v>3434</v>
      </c>
      <c r="N77" s="8">
        <v>3573</v>
      </c>
      <c r="O77" s="16">
        <f t="shared" si="15"/>
        <v>49.008134722420436</v>
      </c>
      <c r="P77" s="14">
        <f t="shared" si="14"/>
        <v>50.991865277579564</v>
      </c>
      <c r="Q77" s="9" t="s">
        <v>73</v>
      </c>
      <c r="R77" s="19">
        <f t="shared" si="13"/>
        <v>1.0404775771694816</v>
      </c>
      <c r="S77" s="9">
        <f t="shared" si="12"/>
        <v>1</v>
      </c>
    </row>
    <row r="78" spans="1:31" ht="15.5" x14ac:dyDescent="0.35">
      <c r="A78" s="1" t="s">
        <v>13</v>
      </c>
      <c r="B78" s="25">
        <v>28</v>
      </c>
      <c r="C78" s="55">
        <v>1130</v>
      </c>
      <c r="D78" s="55">
        <v>1028</v>
      </c>
      <c r="E78" s="55">
        <v>2158</v>
      </c>
      <c r="F78" s="54">
        <v>902</v>
      </c>
      <c r="G78" s="54">
        <v>724</v>
      </c>
      <c r="H78" s="55">
        <v>1626</v>
      </c>
      <c r="I78" s="54">
        <v>674</v>
      </c>
      <c r="J78" s="54">
        <v>546</v>
      </c>
      <c r="K78" s="55">
        <v>1220</v>
      </c>
      <c r="L78" s="8">
        <v>5004</v>
      </c>
      <c r="M78" s="2">
        <f t="shared" si="16"/>
        <v>2706</v>
      </c>
      <c r="N78" s="8">
        <v>2298</v>
      </c>
      <c r="O78" s="16">
        <f t="shared" si="15"/>
        <v>54.076738609112709</v>
      </c>
      <c r="P78" s="14">
        <f t="shared" si="14"/>
        <v>45.923261390887291</v>
      </c>
      <c r="Q78" s="9" t="s">
        <v>73</v>
      </c>
      <c r="R78" s="19">
        <f t="shared" si="13"/>
        <v>0.84922394678492241</v>
      </c>
      <c r="S78" s="9">
        <f t="shared" si="12"/>
        <v>0.8</v>
      </c>
    </row>
    <row r="79" spans="1:31" ht="15.5" x14ac:dyDescent="0.35">
      <c r="A79" s="1" t="s">
        <v>29</v>
      </c>
      <c r="B79" s="25">
        <v>15</v>
      </c>
      <c r="C79" s="55">
        <v>1575</v>
      </c>
      <c r="D79" s="55">
        <v>3264</v>
      </c>
      <c r="E79" s="55">
        <v>4839</v>
      </c>
      <c r="F79" s="55">
        <v>1444</v>
      </c>
      <c r="G79" s="55">
        <v>2252</v>
      </c>
      <c r="H79" s="55">
        <v>3696</v>
      </c>
      <c r="I79" s="54">
        <v>984</v>
      </c>
      <c r="J79" s="55">
        <v>1640</v>
      </c>
      <c r="K79" s="55">
        <v>2624</v>
      </c>
      <c r="L79" s="8">
        <v>11159</v>
      </c>
      <c r="M79" s="2">
        <f t="shared" si="16"/>
        <v>4003</v>
      </c>
      <c r="N79" s="8">
        <v>7156</v>
      </c>
      <c r="O79" s="16">
        <f t="shared" si="15"/>
        <v>35.872389999103859</v>
      </c>
      <c r="P79" s="14">
        <f t="shared" si="14"/>
        <v>64.127610000896141</v>
      </c>
      <c r="Q79" s="9" t="s">
        <v>73</v>
      </c>
      <c r="R79" s="19">
        <f t="shared" si="13"/>
        <v>1.7876592555583315</v>
      </c>
      <c r="S79" s="9">
        <f t="shared" si="12"/>
        <v>1.8</v>
      </c>
    </row>
    <row r="80" spans="1:31" ht="15.5" x14ac:dyDescent="0.35">
      <c r="A80" s="1" t="s">
        <v>30</v>
      </c>
      <c r="B80" s="25">
        <v>12</v>
      </c>
      <c r="C80" s="55">
        <v>1786</v>
      </c>
      <c r="D80" s="55">
        <v>4068</v>
      </c>
      <c r="E80" s="55">
        <v>5854</v>
      </c>
      <c r="F80" s="55">
        <v>1107</v>
      </c>
      <c r="G80" s="55">
        <v>2712</v>
      </c>
      <c r="H80" s="55">
        <v>3819</v>
      </c>
      <c r="I80" s="54">
        <v>619</v>
      </c>
      <c r="J80" s="55">
        <v>1981</v>
      </c>
      <c r="K80" s="55">
        <v>2600</v>
      </c>
      <c r="L80" s="8">
        <v>12273</v>
      </c>
      <c r="M80" s="2">
        <f t="shared" si="16"/>
        <v>3512</v>
      </c>
      <c r="N80" s="8">
        <v>8761</v>
      </c>
      <c r="O80" s="16">
        <f t="shared" si="15"/>
        <v>28.615660392732011</v>
      </c>
      <c r="P80" s="14">
        <f t="shared" si="14"/>
        <v>71.384339607267989</v>
      </c>
      <c r="Q80" s="9" t="s">
        <v>73</v>
      </c>
      <c r="R80" s="19">
        <f t="shared" si="13"/>
        <v>2.494589977220957</v>
      </c>
      <c r="S80" s="9">
        <f t="shared" si="12"/>
        <v>2.5</v>
      </c>
    </row>
    <row r="81" spans="1:19" ht="15.5" x14ac:dyDescent="0.35">
      <c r="A81" s="1" t="s">
        <v>17</v>
      </c>
      <c r="B81" s="25">
        <v>12</v>
      </c>
      <c r="C81" s="55">
        <v>1093</v>
      </c>
      <c r="D81" s="55">
        <v>1139</v>
      </c>
      <c r="E81" s="55">
        <v>2232</v>
      </c>
      <c r="F81" s="54">
        <v>909</v>
      </c>
      <c r="G81" s="54">
        <v>884</v>
      </c>
      <c r="H81" s="55">
        <v>1793</v>
      </c>
      <c r="I81" s="54">
        <v>880</v>
      </c>
      <c r="J81" s="54">
        <v>892</v>
      </c>
      <c r="K81" s="55">
        <v>1772</v>
      </c>
      <c r="L81" s="8">
        <v>5797</v>
      </c>
      <c r="M81" s="2">
        <f t="shared" si="16"/>
        <v>2882</v>
      </c>
      <c r="N81" s="8">
        <v>2915</v>
      </c>
      <c r="O81" s="16">
        <f t="shared" si="15"/>
        <v>49.715370018975328</v>
      </c>
      <c r="P81" s="14">
        <f t="shared" si="14"/>
        <v>50.284629981024665</v>
      </c>
      <c r="Q81" s="9" t="s">
        <v>73</v>
      </c>
      <c r="R81" s="19">
        <f t="shared" si="13"/>
        <v>1.0114503816793894</v>
      </c>
      <c r="S81" s="9">
        <f t="shared" si="12"/>
        <v>1</v>
      </c>
    </row>
    <row r="82" spans="1:19" ht="15.5" x14ac:dyDescent="0.35">
      <c r="A82" s="1" t="s">
        <v>16</v>
      </c>
      <c r="B82" s="25">
        <v>20</v>
      </c>
      <c r="C82" s="54">
        <v>608</v>
      </c>
      <c r="D82" s="54">
        <v>531</v>
      </c>
      <c r="E82" s="55">
        <v>1139</v>
      </c>
      <c r="F82" s="54">
        <v>666</v>
      </c>
      <c r="G82" s="54">
        <v>510</v>
      </c>
      <c r="H82" s="55">
        <v>1176</v>
      </c>
      <c r="I82" s="54">
        <v>390</v>
      </c>
      <c r="J82" s="54">
        <v>299</v>
      </c>
      <c r="K82" s="54">
        <v>689</v>
      </c>
      <c r="L82" s="8">
        <v>3004</v>
      </c>
      <c r="M82" s="2">
        <f t="shared" si="16"/>
        <v>1664</v>
      </c>
      <c r="N82" s="8">
        <v>1340</v>
      </c>
      <c r="O82" s="16">
        <f t="shared" si="15"/>
        <v>55.392809587217037</v>
      </c>
      <c r="P82" s="14">
        <f t="shared" si="14"/>
        <v>44.607190412782955</v>
      </c>
      <c r="Q82" s="9" t="s">
        <v>73</v>
      </c>
      <c r="R82" s="19">
        <f t="shared" si="13"/>
        <v>0.80528846153846168</v>
      </c>
      <c r="S82" s="9">
        <f t="shared" si="12"/>
        <v>0.8</v>
      </c>
    </row>
    <row r="83" spans="1:19" ht="15.5" x14ac:dyDescent="0.35">
      <c r="A83" s="1" t="s">
        <v>18</v>
      </c>
      <c r="B83" s="25">
        <v>13</v>
      </c>
      <c r="C83" s="54">
        <v>881</v>
      </c>
      <c r="D83" s="54">
        <v>771</v>
      </c>
      <c r="E83" s="55">
        <v>1652</v>
      </c>
      <c r="F83" s="54">
        <v>863</v>
      </c>
      <c r="G83" s="54">
        <v>717</v>
      </c>
      <c r="H83" s="55">
        <v>1580</v>
      </c>
      <c r="I83" s="54">
        <v>676</v>
      </c>
      <c r="J83" s="54">
        <v>503</v>
      </c>
      <c r="K83" s="55">
        <v>1179</v>
      </c>
      <c r="L83" s="8">
        <v>4411</v>
      </c>
      <c r="M83" s="2">
        <f t="shared" si="16"/>
        <v>2420</v>
      </c>
      <c r="N83" s="8">
        <v>1991</v>
      </c>
      <c r="O83" s="16">
        <f t="shared" si="15"/>
        <v>54.862842892768086</v>
      </c>
      <c r="P83" s="14">
        <f t="shared" si="14"/>
        <v>45.137157107231914</v>
      </c>
      <c r="Q83" s="9" t="s">
        <v>73</v>
      </c>
      <c r="R83" s="19">
        <f t="shared" si="13"/>
        <v>0.82272727272727253</v>
      </c>
      <c r="S83" s="9">
        <f t="shared" si="12"/>
        <v>0.8</v>
      </c>
    </row>
    <row r="84" spans="1:19" ht="15.5" x14ac:dyDescent="0.35">
      <c r="A84" s="1" t="s">
        <v>19</v>
      </c>
      <c r="B84" s="25">
        <v>13</v>
      </c>
      <c r="C84" s="54">
        <v>691</v>
      </c>
      <c r="D84" s="54">
        <v>390</v>
      </c>
      <c r="E84" s="55">
        <v>1081</v>
      </c>
      <c r="F84" s="54">
        <v>597</v>
      </c>
      <c r="G84" s="54">
        <v>338</v>
      </c>
      <c r="H84" s="54">
        <v>935</v>
      </c>
      <c r="I84" s="54">
        <v>523</v>
      </c>
      <c r="J84" s="54">
        <v>334</v>
      </c>
      <c r="K84" s="54">
        <v>857</v>
      </c>
      <c r="L84" s="8">
        <v>2873</v>
      </c>
      <c r="M84" s="2">
        <f t="shared" si="16"/>
        <v>1811</v>
      </c>
      <c r="N84" s="8">
        <v>1062</v>
      </c>
      <c r="O84" s="16">
        <f t="shared" si="15"/>
        <v>63.035154890358513</v>
      </c>
      <c r="P84" s="14">
        <f t="shared" si="14"/>
        <v>36.964845109641495</v>
      </c>
      <c r="Q84" s="9" t="s">
        <v>73</v>
      </c>
      <c r="R84" s="19">
        <f t="shared" si="13"/>
        <v>0.5864163445610161</v>
      </c>
      <c r="S84" s="9">
        <f t="shared" si="12"/>
        <v>0.6</v>
      </c>
    </row>
    <row r="85" spans="1:19" ht="15.5" x14ac:dyDescent="0.35">
      <c r="A85" s="1" t="s">
        <v>20</v>
      </c>
      <c r="B85" s="25">
        <v>10</v>
      </c>
      <c r="C85" s="54">
        <v>797</v>
      </c>
      <c r="D85" s="54">
        <v>698</v>
      </c>
      <c r="E85" s="55">
        <v>1495</v>
      </c>
      <c r="F85" s="54">
        <v>611</v>
      </c>
      <c r="G85" s="54">
        <v>545</v>
      </c>
      <c r="H85" s="55">
        <v>1156</v>
      </c>
      <c r="I85" s="54">
        <v>511</v>
      </c>
      <c r="J85" s="54">
        <v>458</v>
      </c>
      <c r="K85" s="54">
        <v>969</v>
      </c>
      <c r="L85" s="8">
        <v>3620</v>
      </c>
      <c r="M85" s="2">
        <f t="shared" si="16"/>
        <v>1919</v>
      </c>
      <c r="N85" s="8">
        <v>1701</v>
      </c>
      <c r="O85" s="16">
        <f t="shared" si="15"/>
        <v>53.011049723756912</v>
      </c>
      <c r="P85" s="14">
        <f t="shared" si="14"/>
        <v>46.988950276243095</v>
      </c>
      <c r="Q85" s="9" t="s">
        <v>73</v>
      </c>
      <c r="R85" s="19">
        <f t="shared" si="13"/>
        <v>0.88639916623241266</v>
      </c>
      <c r="S85" s="9">
        <f t="shared" si="12"/>
        <v>0.9</v>
      </c>
    </row>
    <row r="86" spans="1:19" ht="15.5" x14ac:dyDescent="0.35">
      <c r="A86" s="1" t="s">
        <v>21</v>
      </c>
      <c r="B86" s="25">
        <v>4</v>
      </c>
      <c r="C86" s="54">
        <v>859</v>
      </c>
      <c r="D86" s="54">
        <v>663</v>
      </c>
      <c r="E86" s="55">
        <v>1522</v>
      </c>
      <c r="F86" s="54">
        <v>691</v>
      </c>
      <c r="G86" s="54">
        <v>434</v>
      </c>
      <c r="H86" s="55">
        <v>1125</v>
      </c>
      <c r="I86" s="54">
        <v>931</v>
      </c>
      <c r="J86" s="54">
        <v>543</v>
      </c>
      <c r="K86" s="55">
        <v>1474</v>
      </c>
      <c r="L86" s="8">
        <v>4121</v>
      </c>
      <c r="M86" s="2">
        <f t="shared" si="16"/>
        <v>2481</v>
      </c>
      <c r="N86" s="8">
        <v>1640</v>
      </c>
      <c r="O86" s="16">
        <f t="shared" si="15"/>
        <v>60.203834020868719</v>
      </c>
      <c r="P86" s="14">
        <f t="shared" si="14"/>
        <v>39.796165979131274</v>
      </c>
      <c r="Q86" s="9" t="s">
        <v>73</v>
      </c>
      <c r="R86" s="19">
        <f t="shared" si="13"/>
        <v>0.66102378073357515</v>
      </c>
      <c r="S86" s="9">
        <f t="shared" si="12"/>
        <v>0.7</v>
      </c>
    </row>
    <row r="87" spans="1:19" ht="15.5" x14ac:dyDescent="0.35">
      <c r="A87" s="1" t="s">
        <v>22</v>
      </c>
      <c r="B87" s="25">
        <v>16</v>
      </c>
      <c r="C87" s="55">
        <v>1352</v>
      </c>
      <c r="D87" s="55">
        <v>1000</v>
      </c>
      <c r="E87" s="55">
        <v>2352</v>
      </c>
      <c r="F87" s="55">
        <v>1096</v>
      </c>
      <c r="G87" s="54">
        <v>755</v>
      </c>
      <c r="H87" s="55">
        <v>1851</v>
      </c>
      <c r="I87" s="54">
        <v>708</v>
      </c>
      <c r="J87" s="54">
        <v>454</v>
      </c>
      <c r="K87" s="55">
        <v>1162</v>
      </c>
      <c r="L87" s="8">
        <v>5365</v>
      </c>
      <c r="M87" s="2">
        <f t="shared" si="16"/>
        <v>3156</v>
      </c>
      <c r="N87" s="8">
        <v>2209</v>
      </c>
      <c r="O87" s="16">
        <f t="shared" si="15"/>
        <v>58.825722273998139</v>
      </c>
      <c r="P87" s="14">
        <f t="shared" si="14"/>
        <v>41.174277726001861</v>
      </c>
      <c r="Q87" s="9" t="s">
        <v>73</v>
      </c>
      <c r="R87" s="19">
        <f t="shared" si="13"/>
        <v>0.69993662864385287</v>
      </c>
      <c r="S87" s="9">
        <f t="shared" si="12"/>
        <v>0.7</v>
      </c>
    </row>
    <row r="88" spans="1:19" ht="15.5" x14ac:dyDescent="0.35">
      <c r="A88" s="1" t="s">
        <v>23</v>
      </c>
      <c r="B88" s="25">
        <v>6</v>
      </c>
      <c r="C88" s="54">
        <v>888</v>
      </c>
      <c r="D88" s="54">
        <v>561</v>
      </c>
      <c r="E88" s="55">
        <v>1449</v>
      </c>
      <c r="F88" s="54">
        <v>608</v>
      </c>
      <c r="G88" s="54">
        <v>340</v>
      </c>
      <c r="H88" s="54">
        <v>948</v>
      </c>
      <c r="I88" s="54">
        <v>576</v>
      </c>
      <c r="J88" s="54">
        <v>379</v>
      </c>
      <c r="K88" s="54">
        <v>955</v>
      </c>
      <c r="L88" s="8">
        <v>3352</v>
      </c>
      <c r="M88" s="2">
        <f t="shared" si="16"/>
        <v>2072</v>
      </c>
      <c r="N88" s="8">
        <v>1280</v>
      </c>
      <c r="O88" s="16">
        <f t="shared" si="15"/>
        <v>61.813842482100235</v>
      </c>
      <c r="P88" s="14">
        <f t="shared" si="14"/>
        <v>38.186157517899758</v>
      </c>
      <c r="Q88" s="9" t="s">
        <v>73</v>
      </c>
      <c r="R88" s="19">
        <f t="shared" si="13"/>
        <v>0.61776061776061775</v>
      </c>
      <c r="S88" s="9">
        <f t="shared" si="12"/>
        <v>0.6</v>
      </c>
    </row>
    <row r="89" spans="1:19" ht="15.5" x14ac:dyDescent="0.35">
      <c r="A89" s="1" t="s">
        <v>31</v>
      </c>
      <c r="B89" s="25">
        <v>11</v>
      </c>
      <c r="C89" s="55">
        <v>1484</v>
      </c>
      <c r="D89" s="55">
        <v>2554</v>
      </c>
      <c r="E89" s="55">
        <v>4038</v>
      </c>
      <c r="F89" s="55">
        <v>1155</v>
      </c>
      <c r="G89" s="55">
        <v>1932</v>
      </c>
      <c r="H89" s="55">
        <v>3087</v>
      </c>
      <c r="I89" s="54">
        <v>579</v>
      </c>
      <c r="J89" s="55">
        <v>1485</v>
      </c>
      <c r="K89" s="55">
        <v>2064</v>
      </c>
      <c r="L89" s="8">
        <v>9189</v>
      </c>
      <c r="M89" s="2">
        <f t="shared" si="16"/>
        <v>3218</v>
      </c>
      <c r="N89" s="8">
        <v>5971</v>
      </c>
      <c r="O89" s="16">
        <f t="shared" si="15"/>
        <v>35.020132767439328</v>
      </c>
      <c r="P89" s="14">
        <f t="shared" si="14"/>
        <v>64.979867232560679</v>
      </c>
      <c r="Q89" s="9" t="s">
        <v>73</v>
      </c>
      <c r="R89" s="19">
        <f t="shared" si="13"/>
        <v>1.8555003107520203</v>
      </c>
      <c r="S89" s="9">
        <f t="shared" si="12"/>
        <v>1.9</v>
      </c>
    </row>
    <row r="90" spans="1:19" ht="15.5" x14ac:dyDescent="0.35">
      <c r="A90" s="1" t="s">
        <v>25</v>
      </c>
      <c r="B90" s="25">
        <v>16</v>
      </c>
      <c r="C90" s="54">
        <v>762</v>
      </c>
      <c r="D90" s="54">
        <v>784</v>
      </c>
      <c r="E90" s="55">
        <v>1546</v>
      </c>
      <c r="F90" s="54">
        <v>615</v>
      </c>
      <c r="G90" s="54">
        <v>578</v>
      </c>
      <c r="H90" s="55">
        <v>1193</v>
      </c>
      <c r="I90" s="54">
        <v>613</v>
      </c>
      <c r="J90" s="54">
        <v>557</v>
      </c>
      <c r="K90" s="55">
        <v>1170</v>
      </c>
      <c r="L90" s="8">
        <v>3909</v>
      </c>
      <c r="M90" s="2">
        <f t="shared" si="16"/>
        <v>1990</v>
      </c>
      <c r="N90" s="8">
        <v>1919</v>
      </c>
      <c r="O90" s="16">
        <f t="shared" si="15"/>
        <v>50.90816065489895</v>
      </c>
      <c r="P90" s="14">
        <f t="shared" si="14"/>
        <v>49.09183934510105</v>
      </c>
      <c r="Q90" s="9" t="s">
        <v>73</v>
      </c>
      <c r="R90" s="19">
        <f t="shared" si="13"/>
        <v>0.96432160804020106</v>
      </c>
      <c r="S90" s="9">
        <f t="shared" ref="S90:S121" si="17">ROUND(R90, 1)</f>
        <v>1</v>
      </c>
    </row>
    <row r="91" spans="1:19" ht="15.5" x14ac:dyDescent="0.35">
      <c r="A91" s="1" t="s">
        <v>26</v>
      </c>
      <c r="B91" s="25">
        <v>10</v>
      </c>
      <c r="C91" s="54">
        <v>745</v>
      </c>
      <c r="D91" s="54">
        <v>212</v>
      </c>
      <c r="E91" s="54">
        <v>957</v>
      </c>
      <c r="F91" s="54">
        <v>498</v>
      </c>
      <c r="G91" s="54">
        <v>149</v>
      </c>
      <c r="H91" s="54">
        <v>647</v>
      </c>
      <c r="I91" s="54">
        <v>423</v>
      </c>
      <c r="J91" s="54">
        <v>128</v>
      </c>
      <c r="K91" s="54">
        <v>551</v>
      </c>
      <c r="L91" s="8">
        <v>2155</v>
      </c>
      <c r="M91" s="2">
        <f t="shared" si="16"/>
        <v>1666</v>
      </c>
      <c r="N91" s="7">
        <v>489</v>
      </c>
      <c r="O91" s="16">
        <f t="shared" si="15"/>
        <v>77.308584686774935</v>
      </c>
      <c r="P91" s="14">
        <f t="shared" si="14"/>
        <v>22.691415313225058</v>
      </c>
      <c r="Q91" s="9" t="s">
        <v>73</v>
      </c>
      <c r="R91" s="19">
        <f t="shared" si="13"/>
        <v>0.29351740696278511</v>
      </c>
      <c r="S91" s="9">
        <f t="shared" si="17"/>
        <v>0.3</v>
      </c>
    </row>
    <row r="92" spans="1:19" ht="15.5" x14ac:dyDescent="0.35">
      <c r="A92" s="1" t="s">
        <v>32</v>
      </c>
      <c r="B92" s="25">
        <v>40</v>
      </c>
      <c r="C92" s="55">
        <v>1411</v>
      </c>
      <c r="D92" s="55">
        <v>1394</v>
      </c>
      <c r="E92" s="55">
        <v>2805</v>
      </c>
      <c r="F92" s="55">
        <v>1223</v>
      </c>
      <c r="G92" s="55">
        <v>1232</v>
      </c>
      <c r="H92" s="55">
        <v>2455</v>
      </c>
      <c r="I92" s="55">
        <v>1098</v>
      </c>
      <c r="J92" s="55">
        <v>1204</v>
      </c>
      <c r="K92" s="55">
        <v>2302</v>
      </c>
      <c r="L92" s="8">
        <v>7562</v>
      </c>
      <c r="M92" s="2">
        <f t="shared" si="16"/>
        <v>3732</v>
      </c>
      <c r="N92" s="8">
        <v>3830</v>
      </c>
      <c r="O92" s="16">
        <f t="shared" si="15"/>
        <v>49.352023274266067</v>
      </c>
      <c r="P92" s="14">
        <f t="shared" si="14"/>
        <v>50.647976725733933</v>
      </c>
      <c r="Q92" s="9" t="s">
        <v>73</v>
      </c>
      <c r="R92" s="19">
        <f t="shared" si="13"/>
        <v>1.0262593783494105</v>
      </c>
      <c r="S92" s="9">
        <f t="shared" si="17"/>
        <v>1</v>
      </c>
    </row>
    <row r="93" spans="1:19" ht="15.5" x14ac:dyDescent="0.35">
      <c r="A93" s="1" t="s">
        <v>28</v>
      </c>
      <c r="B93" s="25">
        <v>15</v>
      </c>
      <c r="C93" s="55">
        <v>4166</v>
      </c>
      <c r="D93" s="55">
        <v>4315</v>
      </c>
      <c r="E93" s="55">
        <v>8481</v>
      </c>
      <c r="F93" s="55">
        <v>3451</v>
      </c>
      <c r="G93" s="55">
        <v>2991</v>
      </c>
      <c r="H93" s="55">
        <v>6442</v>
      </c>
      <c r="I93" s="55">
        <v>2715</v>
      </c>
      <c r="J93" s="55">
        <v>2224</v>
      </c>
      <c r="K93" s="55">
        <v>4939</v>
      </c>
      <c r="L93" s="8">
        <v>19862</v>
      </c>
      <c r="M93" s="2">
        <f t="shared" si="16"/>
        <v>10332</v>
      </c>
      <c r="N93" s="8">
        <v>9530</v>
      </c>
      <c r="O93" s="16">
        <f t="shared" si="15"/>
        <v>52.018930621286877</v>
      </c>
      <c r="P93" s="14">
        <f t="shared" si="14"/>
        <v>47.981069378713123</v>
      </c>
      <c r="Q93" s="9" t="s">
        <v>73</v>
      </c>
      <c r="R93" s="19">
        <f t="shared" si="13"/>
        <v>0.92237708091366633</v>
      </c>
      <c r="S93" s="9">
        <f t="shared" si="17"/>
        <v>0.9</v>
      </c>
    </row>
    <row r="94" spans="1:19" ht="15.5" x14ac:dyDescent="0.35">
      <c r="A94" s="27" t="s">
        <v>5</v>
      </c>
      <c r="B94" s="7">
        <v>10</v>
      </c>
      <c r="C94" s="56">
        <v>772</v>
      </c>
      <c r="D94" s="56">
        <v>555</v>
      </c>
      <c r="E94" s="57">
        <v>1327</v>
      </c>
      <c r="F94" s="56">
        <v>712</v>
      </c>
      <c r="G94" s="56">
        <v>360</v>
      </c>
      <c r="H94" s="57">
        <v>1072</v>
      </c>
      <c r="I94" s="56">
        <v>555</v>
      </c>
      <c r="J94" s="56">
        <v>231</v>
      </c>
      <c r="K94" s="56">
        <v>786</v>
      </c>
      <c r="L94" s="8">
        <v>3185</v>
      </c>
      <c r="M94" s="2">
        <f t="shared" si="16"/>
        <v>2039</v>
      </c>
      <c r="N94" s="8">
        <v>1146</v>
      </c>
      <c r="O94" s="16">
        <f t="shared" si="15"/>
        <v>64.018838304552588</v>
      </c>
      <c r="P94" s="14">
        <f t="shared" si="14"/>
        <v>35.981161695447412</v>
      </c>
      <c r="Q94" s="9" t="s">
        <v>74</v>
      </c>
      <c r="R94" s="19">
        <f t="shared" si="13"/>
        <v>0.56204021579205499</v>
      </c>
      <c r="S94" s="9">
        <f t="shared" si="17"/>
        <v>0.6</v>
      </c>
    </row>
    <row r="95" spans="1:19" ht="15.5" x14ac:dyDescent="0.35">
      <c r="A95" s="27" t="s">
        <v>33</v>
      </c>
      <c r="B95" s="7">
        <v>18</v>
      </c>
      <c r="C95" s="57">
        <v>1896</v>
      </c>
      <c r="D95" s="57">
        <v>2208</v>
      </c>
      <c r="E95" s="57">
        <v>4104</v>
      </c>
      <c r="F95" s="57">
        <v>1917</v>
      </c>
      <c r="G95" s="57">
        <v>2245</v>
      </c>
      <c r="H95" s="57">
        <v>4162</v>
      </c>
      <c r="I95" s="57">
        <v>1167</v>
      </c>
      <c r="J95" s="57">
        <v>1210</v>
      </c>
      <c r="K95" s="57">
        <v>2377</v>
      </c>
      <c r="L95" s="8">
        <v>10643</v>
      </c>
      <c r="M95" s="2">
        <f t="shared" si="16"/>
        <v>4980</v>
      </c>
      <c r="N95" s="8">
        <v>5663</v>
      </c>
      <c r="O95" s="16">
        <f t="shared" si="15"/>
        <v>46.791318237339098</v>
      </c>
      <c r="P95" s="14">
        <f t="shared" si="14"/>
        <v>53.208681762660902</v>
      </c>
      <c r="Q95" s="9" t="s">
        <v>74</v>
      </c>
      <c r="R95" s="19">
        <f t="shared" si="13"/>
        <v>1.1371485943775099</v>
      </c>
      <c r="S95" s="9">
        <f t="shared" si="17"/>
        <v>1.1000000000000001</v>
      </c>
    </row>
    <row r="96" spans="1:19" ht="15.5" x14ac:dyDescent="0.35">
      <c r="A96" s="27" t="s">
        <v>34</v>
      </c>
      <c r="B96" s="7">
        <v>8</v>
      </c>
      <c r="C96" s="56">
        <v>892</v>
      </c>
      <c r="D96" s="56">
        <v>683</v>
      </c>
      <c r="E96" s="57">
        <v>1575</v>
      </c>
      <c r="F96" s="56">
        <v>579</v>
      </c>
      <c r="G96" s="56">
        <v>563</v>
      </c>
      <c r="H96" s="57">
        <v>1142</v>
      </c>
      <c r="I96" s="56">
        <v>605</v>
      </c>
      <c r="J96" s="56">
        <v>544</v>
      </c>
      <c r="K96" s="57">
        <v>1149</v>
      </c>
      <c r="L96" s="8">
        <v>3866</v>
      </c>
      <c r="M96" s="2">
        <f t="shared" si="16"/>
        <v>2076</v>
      </c>
      <c r="N96" s="8">
        <v>1790</v>
      </c>
      <c r="O96" s="16">
        <f t="shared" si="15"/>
        <v>53.698913605794104</v>
      </c>
      <c r="P96" s="14">
        <f t="shared" si="14"/>
        <v>46.301086394205896</v>
      </c>
      <c r="Q96" s="9" t="s">
        <v>74</v>
      </c>
      <c r="R96" s="19">
        <f t="shared" si="13"/>
        <v>0.86223506743737954</v>
      </c>
      <c r="S96" s="9">
        <f t="shared" si="17"/>
        <v>0.9</v>
      </c>
    </row>
    <row r="97" spans="1:19" ht="15.5" x14ac:dyDescent="0.35">
      <c r="A97" s="27" t="s">
        <v>35</v>
      </c>
      <c r="B97" s="7">
        <v>15</v>
      </c>
      <c r="C97" s="57">
        <v>2384</v>
      </c>
      <c r="D97" s="57">
        <v>2193</v>
      </c>
      <c r="E97" s="57">
        <v>4577</v>
      </c>
      <c r="F97" s="57">
        <v>2415</v>
      </c>
      <c r="G97" s="57">
        <v>1923</v>
      </c>
      <c r="H97" s="57">
        <v>4338</v>
      </c>
      <c r="I97" s="57">
        <v>1708</v>
      </c>
      <c r="J97" s="57">
        <v>1339</v>
      </c>
      <c r="K97" s="57">
        <v>3047</v>
      </c>
      <c r="L97" s="8">
        <v>11962</v>
      </c>
      <c r="M97" s="2">
        <f t="shared" si="16"/>
        <v>6507</v>
      </c>
      <c r="N97" s="8">
        <v>5455</v>
      </c>
      <c r="O97" s="16">
        <f t="shared" si="15"/>
        <v>54.397257983614779</v>
      </c>
      <c r="P97" s="14">
        <f t="shared" si="14"/>
        <v>45.602742016385221</v>
      </c>
      <c r="Q97" s="9" t="s">
        <v>74</v>
      </c>
      <c r="R97" s="19">
        <f t="shared" si="13"/>
        <v>0.83832795451052722</v>
      </c>
      <c r="S97" s="9">
        <f t="shared" si="17"/>
        <v>0.8</v>
      </c>
    </row>
    <row r="98" spans="1:19" ht="15.5" x14ac:dyDescent="0.35">
      <c r="A98" s="27" t="s">
        <v>36</v>
      </c>
      <c r="B98" s="7">
        <v>14</v>
      </c>
      <c r="C98" s="57">
        <v>1458</v>
      </c>
      <c r="D98" s="56">
        <v>859</v>
      </c>
      <c r="E98" s="57">
        <v>2317</v>
      </c>
      <c r="F98" s="57">
        <v>1201</v>
      </c>
      <c r="G98" s="56">
        <v>629</v>
      </c>
      <c r="H98" s="57">
        <v>1830</v>
      </c>
      <c r="I98" s="56">
        <v>757</v>
      </c>
      <c r="J98" s="56">
        <v>401</v>
      </c>
      <c r="K98" s="57">
        <v>1158</v>
      </c>
      <c r="L98" s="8">
        <v>5305</v>
      </c>
      <c r="M98" s="2">
        <f t="shared" si="16"/>
        <v>3416</v>
      </c>
      <c r="N98" s="8">
        <v>1889</v>
      </c>
      <c r="O98" s="16">
        <f t="shared" si="15"/>
        <v>64.392082940622046</v>
      </c>
      <c r="P98" s="14">
        <f t="shared" si="14"/>
        <v>35.607917059377947</v>
      </c>
      <c r="Q98" s="9" t="s">
        <v>74</v>
      </c>
      <c r="R98" s="19">
        <f t="shared" si="13"/>
        <v>0.55298594847775184</v>
      </c>
      <c r="S98" s="9">
        <f t="shared" si="17"/>
        <v>0.6</v>
      </c>
    </row>
    <row r="99" spans="1:19" ht="15.5" x14ac:dyDescent="0.35">
      <c r="A99" s="27" t="s">
        <v>37</v>
      </c>
      <c r="B99" s="7">
        <v>13</v>
      </c>
      <c r="C99" s="56">
        <v>478</v>
      </c>
      <c r="D99" s="56">
        <v>488</v>
      </c>
      <c r="E99" s="56">
        <v>966</v>
      </c>
      <c r="F99" s="56">
        <v>541</v>
      </c>
      <c r="G99" s="56">
        <v>500</v>
      </c>
      <c r="H99" s="57">
        <v>1041</v>
      </c>
      <c r="I99" s="56">
        <v>390</v>
      </c>
      <c r="J99" s="56">
        <v>433</v>
      </c>
      <c r="K99" s="56">
        <v>823</v>
      </c>
      <c r="L99" s="8">
        <v>2830</v>
      </c>
      <c r="M99" s="2">
        <f t="shared" si="16"/>
        <v>1409</v>
      </c>
      <c r="N99" s="8">
        <v>1421</v>
      </c>
      <c r="O99" s="16">
        <f t="shared" si="15"/>
        <v>49.78798586572438</v>
      </c>
      <c r="P99" s="14">
        <f t="shared" si="14"/>
        <v>50.21201413427562</v>
      </c>
      <c r="Q99" s="9" t="s">
        <v>74</v>
      </c>
      <c r="R99" s="19">
        <f t="shared" si="13"/>
        <v>1.008516678495387</v>
      </c>
      <c r="S99" s="9">
        <f t="shared" si="17"/>
        <v>1</v>
      </c>
    </row>
    <row r="100" spans="1:19" ht="15.5" x14ac:dyDescent="0.35">
      <c r="A100" s="27" t="s">
        <v>38</v>
      </c>
      <c r="B100" s="7">
        <v>23</v>
      </c>
      <c r="C100" s="57">
        <v>1368</v>
      </c>
      <c r="D100" s="57">
        <v>1483</v>
      </c>
      <c r="E100" s="57">
        <v>2851</v>
      </c>
      <c r="F100" s="57">
        <v>1270</v>
      </c>
      <c r="G100" s="57">
        <v>1394</v>
      </c>
      <c r="H100" s="57">
        <v>2664</v>
      </c>
      <c r="I100" s="57">
        <v>1205</v>
      </c>
      <c r="J100" s="57">
        <v>1293</v>
      </c>
      <c r="K100" s="57">
        <v>2498</v>
      </c>
      <c r="L100" s="8">
        <v>8013</v>
      </c>
      <c r="M100" s="2">
        <f t="shared" si="16"/>
        <v>3843</v>
      </c>
      <c r="N100" s="8">
        <v>4170</v>
      </c>
      <c r="O100" s="16">
        <f t="shared" si="15"/>
        <v>47.959565705728188</v>
      </c>
      <c r="P100" s="14">
        <f t="shared" si="14"/>
        <v>52.040434294271812</v>
      </c>
      <c r="Q100" s="9" t="s">
        <v>74</v>
      </c>
      <c r="R100" s="19">
        <f t="shared" si="13"/>
        <v>1.0850897736143639</v>
      </c>
      <c r="S100" s="9">
        <f t="shared" si="17"/>
        <v>1.1000000000000001</v>
      </c>
    </row>
    <row r="101" spans="1:19" ht="15.5" x14ac:dyDescent="0.35">
      <c r="A101" s="27" t="s">
        <v>39</v>
      </c>
      <c r="B101" s="7">
        <v>29</v>
      </c>
      <c r="C101" s="57">
        <v>1279</v>
      </c>
      <c r="D101" s="57">
        <v>1042</v>
      </c>
      <c r="E101" s="57">
        <v>2321</v>
      </c>
      <c r="F101" s="57">
        <v>1214</v>
      </c>
      <c r="G101" s="57">
        <v>1048</v>
      </c>
      <c r="H101" s="57">
        <v>2262</v>
      </c>
      <c r="I101" s="56">
        <v>828</v>
      </c>
      <c r="J101" s="56">
        <v>763</v>
      </c>
      <c r="K101" s="57">
        <v>1591</v>
      </c>
      <c r="L101" s="8">
        <v>6174</v>
      </c>
      <c r="M101" s="2">
        <f t="shared" si="16"/>
        <v>3321</v>
      </c>
      <c r="N101" s="8">
        <v>2853</v>
      </c>
      <c r="O101" s="16">
        <f t="shared" si="15"/>
        <v>53.790087463556844</v>
      </c>
      <c r="P101" s="14">
        <f t="shared" si="14"/>
        <v>46.209912536443149</v>
      </c>
      <c r="Q101" s="9" t="s">
        <v>74</v>
      </c>
      <c r="R101" s="19">
        <f t="shared" si="13"/>
        <v>0.85907859078590798</v>
      </c>
      <c r="S101" s="9">
        <f t="shared" si="17"/>
        <v>0.9</v>
      </c>
    </row>
    <row r="102" spans="1:19" ht="15.5" x14ac:dyDescent="0.35">
      <c r="A102" s="27" t="s">
        <v>40</v>
      </c>
      <c r="B102" s="7">
        <v>17</v>
      </c>
      <c r="C102" s="57">
        <v>2975</v>
      </c>
      <c r="D102" s="57">
        <v>4064</v>
      </c>
      <c r="E102" s="57">
        <v>7039</v>
      </c>
      <c r="F102" s="57">
        <v>2996</v>
      </c>
      <c r="G102" s="57">
        <v>4411</v>
      </c>
      <c r="H102" s="57">
        <v>7407</v>
      </c>
      <c r="I102" s="57">
        <v>2317</v>
      </c>
      <c r="J102" s="57">
        <v>3389</v>
      </c>
      <c r="K102" s="57">
        <v>5706</v>
      </c>
      <c r="L102" s="8">
        <v>20152</v>
      </c>
      <c r="M102" s="2">
        <f t="shared" ref="M102:M133" si="18">L102-N102</f>
        <v>8288</v>
      </c>
      <c r="N102" s="8">
        <v>11864</v>
      </c>
      <c r="O102" s="16">
        <f t="shared" si="15"/>
        <v>41.127431520444617</v>
      </c>
      <c r="P102" s="14">
        <f t="shared" si="14"/>
        <v>58.872568479555376</v>
      </c>
      <c r="Q102" s="9" t="s">
        <v>74</v>
      </c>
      <c r="R102" s="19">
        <f t="shared" si="13"/>
        <v>1.4314671814671815</v>
      </c>
      <c r="S102" s="9">
        <f t="shared" si="17"/>
        <v>1.4</v>
      </c>
    </row>
    <row r="103" spans="1:19" ht="15.5" x14ac:dyDescent="0.35">
      <c r="A103" s="27" t="s">
        <v>41</v>
      </c>
      <c r="B103" s="7">
        <v>13</v>
      </c>
      <c r="C103" s="57">
        <v>1290</v>
      </c>
      <c r="D103" s="57">
        <v>4118</v>
      </c>
      <c r="E103" s="57">
        <v>5408</v>
      </c>
      <c r="F103" s="57">
        <v>1502</v>
      </c>
      <c r="G103" s="57">
        <v>4195</v>
      </c>
      <c r="H103" s="57">
        <v>5697</v>
      </c>
      <c r="I103" s="56">
        <v>614</v>
      </c>
      <c r="J103" s="57">
        <v>2427</v>
      </c>
      <c r="K103" s="57">
        <v>3041</v>
      </c>
      <c r="L103" s="8">
        <v>14146</v>
      </c>
      <c r="M103" s="2">
        <f t="shared" si="18"/>
        <v>3406</v>
      </c>
      <c r="N103" s="8">
        <v>10740</v>
      </c>
      <c r="O103" s="16">
        <f t="shared" si="15"/>
        <v>24.077477732221123</v>
      </c>
      <c r="P103" s="14">
        <f t="shared" si="14"/>
        <v>75.922522267778874</v>
      </c>
      <c r="Q103" s="9" t="s">
        <v>74</v>
      </c>
      <c r="R103" s="19">
        <f t="shared" si="13"/>
        <v>3.153258954785672</v>
      </c>
      <c r="S103" s="9">
        <f t="shared" si="17"/>
        <v>3.2</v>
      </c>
    </row>
    <row r="104" spans="1:19" ht="15.5" x14ac:dyDescent="0.35">
      <c r="A104" s="27" t="s">
        <v>42</v>
      </c>
      <c r="B104" s="7">
        <v>12</v>
      </c>
      <c r="C104" s="56">
        <v>484</v>
      </c>
      <c r="D104" s="56">
        <v>620</v>
      </c>
      <c r="E104" s="57">
        <v>1104</v>
      </c>
      <c r="F104" s="56">
        <v>572</v>
      </c>
      <c r="G104" s="56">
        <v>505</v>
      </c>
      <c r="H104" s="57">
        <v>1077</v>
      </c>
      <c r="I104" s="56">
        <v>490</v>
      </c>
      <c r="J104" s="56">
        <v>399</v>
      </c>
      <c r="K104" s="56">
        <v>889</v>
      </c>
      <c r="L104" s="8">
        <v>3070</v>
      </c>
      <c r="M104" s="2">
        <f t="shared" si="18"/>
        <v>1546</v>
      </c>
      <c r="N104" s="8">
        <v>1524</v>
      </c>
      <c r="O104" s="16">
        <f t="shared" si="15"/>
        <v>50.358306188925084</v>
      </c>
      <c r="P104" s="14">
        <f t="shared" si="14"/>
        <v>49.641693811074916</v>
      </c>
      <c r="Q104" s="9" t="s">
        <v>74</v>
      </c>
      <c r="R104" s="19">
        <f t="shared" si="13"/>
        <v>0.98576972833117715</v>
      </c>
      <c r="S104" s="9">
        <f t="shared" si="17"/>
        <v>1</v>
      </c>
    </row>
    <row r="105" spans="1:19" ht="15.5" x14ac:dyDescent="0.35">
      <c r="A105" s="27" t="s">
        <v>43</v>
      </c>
      <c r="B105" s="7">
        <v>20</v>
      </c>
      <c r="C105" s="57">
        <v>1094</v>
      </c>
      <c r="D105" s="57">
        <v>1112</v>
      </c>
      <c r="E105" s="57">
        <v>2206</v>
      </c>
      <c r="F105" s="57">
        <v>1143</v>
      </c>
      <c r="G105" s="57">
        <v>1288</v>
      </c>
      <c r="H105" s="57">
        <v>2431</v>
      </c>
      <c r="I105" s="56">
        <v>810</v>
      </c>
      <c r="J105" s="56">
        <v>898</v>
      </c>
      <c r="K105" s="57">
        <v>1708</v>
      </c>
      <c r="L105" s="8">
        <v>6345</v>
      </c>
      <c r="M105" s="2">
        <f t="shared" si="18"/>
        <v>3047</v>
      </c>
      <c r="N105" s="8">
        <v>3298</v>
      </c>
      <c r="O105" s="16">
        <f t="shared" si="15"/>
        <v>48.022064617809299</v>
      </c>
      <c r="P105" s="14">
        <f t="shared" si="14"/>
        <v>51.977935382190701</v>
      </c>
      <c r="Q105" s="9" t="s">
        <v>74</v>
      </c>
      <c r="R105" s="19">
        <f t="shared" si="13"/>
        <v>1.0823761076468656</v>
      </c>
      <c r="S105" s="9">
        <f t="shared" si="17"/>
        <v>1.1000000000000001</v>
      </c>
    </row>
    <row r="106" spans="1:19" ht="15.5" x14ac:dyDescent="0.35">
      <c r="A106" s="27" t="s">
        <v>44</v>
      </c>
      <c r="B106" s="7">
        <v>13</v>
      </c>
      <c r="C106" s="56">
        <v>966</v>
      </c>
      <c r="D106" s="57">
        <v>1007</v>
      </c>
      <c r="E106" s="57">
        <v>1973</v>
      </c>
      <c r="F106" s="57">
        <v>1015</v>
      </c>
      <c r="G106" s="56">
        <v>966</v>
      </c>
      <c r="H106" s="57">
        <v>1981</v>
      </c>
      <c r="I106" s="56">
        <v>787</v>
      </c>
      <c r="J106" s="56">
        <v>751</v>
      </c>
      <c r="K106" s="57">
        <v>1538</v>
      </c>
      <c r="L106" s="8">
        <v>5492</v>
      </c>
      <c r="M106" s="2">
        <f t="shared" si="18"/>
        <v>2768</v>
      </c>
      <c r="N106" s="8">
        <v>2724</v>
      </c>
      <c r="O106" s="16">
        <f t="shared" si="15"/>
        <v>50.400582665695559</v>
      </c>
      <c r="P106" s="14">
        <f t="shared" si="14"/>
        <v>49.599417334304441</v>
      </c>
      <c r="Q106" s="9" t="s">
        <v>74</v>
      </c>
      <c r="R106" s="19">
        <f t="shared" si="13"/>
        <v>0.98410404624277448</v>
      </c>
      <c r="S106" s="9">
        <f t="shared" si="17"/>
        <v>1</v>
      </c>
    </row>
    <row r="107" spans="1:19" ht="15.5" x14ac:dyDescent="0.35">
      <c r="A107" s="27" t="s">
        <v>45</v>
      </c>
      <c r="B107" s="7">
        <v>15</v>
      </c>
      <c r="C107" s="56">
        <v>592</v>
      </c>
      <c r="D107" s="56">
        <v>419</v>
      </c>
      <c r="E107" s="57">
        <v>1011</v>
      </c>
      <c r="F107" s="56">
        <v>603</v>
      </c>
      <c r="G107" s="56">
        <v>422</v>
      </c>
      <c r="H107" s="57">
        <v>1025</v>
      </c>
      <c r="I107" s="56">
        <v>603</v>
      </c>
      <c r="J107" s="56">
        <v>363</v>
      </c>
      <c r="K107" s="56">
        <v>966</v>
      </c>
      <c r="L107" s="8">
        <v>3002</v>
      </c>
      <c r="M107" s="2">
        <f t="shared" si="18"/>
        <v>1798</v>
      </c>
      <c r="N107" s="8">
        <v>1204</v>
      </c>
      <c r="O107" s="16">
        <f t="shared" si="15"/>
        <v>59.893404397068615</v>
      </c>
      <c r="P107" s="14">
        <f t="shared" si="14"/>
        <v>40.106595602931378</v>
      </c>
      <c r="Q107" s="9" t="s">
        <v>74</v>
      </c>
      <c r="R107" s="19">
        <f t="shared" si="13"/>
        <v>0.66963292547274755</v>
      </c>
      <c r="S107" s="9">
        <f t="shared" si="17"/>
        <v>0.7</v>
      </c>
    </row>
    <row r="108" spans="1:19" ht="15.5" x14ac:dyDescent="0.35">
      <c r="A108" s="27" t="s">
        <v>46</v>
      </c>
      <c r="B108" s="7">
        <v>16</v>
      </c>
      <c r="C108" s="56">
        <v>885</v>
      </c>
      <c r="D108" s="56">
        <v>724</v>
      </c>
      <c r="E108" s="57">
        <v>1609</v>
      </c>
      <c r="F108" s="57">
        <v>1000</v>
      </c>
      <c r="G108" s="56">
        <v>719</v>
      </c>
      <c r="H108" s="57">
        <v>1719</v>
      </c>
      <c r="I108" s="56">
        <v>826</v>
      </c>
      <c r="J108" s="56">
        <v>468</v>
      </c>
      <c r="K108" s="57">
        <v>1294</v>
      </c>
      <c r="L108" s="8">
        <v>4622</v>
      </c>
      <c r="M108" s="2">
        <f t="shared" si="18"/>
        <v>2711</v>
      </c>
      <c r="N108" s="8">
        <v>1911</v>
      </c>
      <c r="O108" s="16">
        <f t="shared" si="15"/>
        <v>58.654262224145391</v>
      </c>
      <c r="P108" s="14">
        <f t="shared" si="14"/>
        <v>41.345737775854609</v>
      </c>
      <c r="Q108" s="9" t="s">
        <v>74</v>
      </c>
      <c r="R108" s="19">
        <f t="shared" si="13"/>
        <v>0.70490593876798235</v>
      </c>
      <c r="S108" s="9">
        <f t="shared" si="17"/>
        <v>0.7</v>
      </c>
    </row>
    <row r="109" spans="1:19" ht="15.5" x14ac:dyDescent="0.35">
      <c r="A109" s="27" t="s">
        <v>47</v>
      </c>
      <c r="B109" s="7">
        <v>5</v>
      </c>
      <c r="C109" s="56">
        <v>646</v>
      </c>
      <c r="D109" s="56">
        <v>383</v>
      </c>
      <c r="E109" s="57">
        <v>1029</v>
      </c>
      <c r="F109" s="56">
        <v>480</v>
      </c>
      <c r="G109" s="56">
        <v>309</v>
      </c>
      <c r="H109" s="56">
        <v>789</v>
      </c>
      <c r="I109" s="56">
        <v>397</v>
      </c>
      <c r="J109" s="56">
        <v>252</v>
      </c>
      <c r="K109" s="56">
        <v>649</v>
      </c>
      <c r="L109" s="8">
        <v>2467</v>
      </c>
      <c r="M109" s="2">
        <f t="shared" si="18"/>
        <v>1523</v>
      </c>
      <c r="N109" s="7">
        <v>944</v>
      </c>
      <c r="O109" s="16">
        <f t="shared" si="15"/>
        <v>61.734900689096072</v>
      </c>
      <c r="P109" s="14">
        <f t="shared" si="14"/>
        <v>38.265099310903935</v>
      </c>
      <c r="Q109" s="9" t="s">
        <v>74</v>
      </c>
      <c r="R109" s="19">
        <f t="shared" si="13"/>
        <v>0.61982928430728823</v>
      </c>
      <c r="S109" s="9">
        <f t="shared" si="17"/>
        <v>0.6</v>
      </c>
    </row>
    <row r="110" spans="1:19" ht="15.5" x14ac:dyDescent="0.35">
      <c r="A110" s="27" t="s">
        <v>48</v>
      </c>
      <c r="B110" s="7">
        <v>17</v>
      </c>
      <c r="C110" s="57">
        <v>1454</v>
      </c>
      <c r="D110" s="57">
        <v>1191</v>
      </c>
      <c r="E110" s="57">
        <v>2645</v>
      </c>
      <c r="F110" s="57">
        <v>1248</v>
      </c>
      <c r="G110" s="57">
        <v>1006</v>
      </c>
      <c r="H110" s="57">
        <v>2254</v>
      </c>
      <c r="I110" s="57">
        <v>1079</v>
      </c>
      <c r="J110" s="56">
        <v>772</v>
      </c>
      <c r="K110" s="57">
        <v>1851</v>
      </c>
      <c r="L110" s="8">
        <v>6750</v>
      </c>
      <c r="M110" s="2">
        <f t="shared" si="18"/>
        <v>3781</v>
      </c>
      <c r="N110" s="8">
        <v>2969</v>
      </c>
      <c r="O110" s="16">
        <f t="shared" si="15"/>
        <v>56.014814814814819</v>
      </c>
      <c r="P110" s="14">
        <f t="shared" si="14"/>
        <v>43.985185185185181</v>
      </c>
      <c r="Q110" s="9" t="s">
        <v>74</v>
      </c>
      <c r="R110" s="19">
        <f t="shared" si="13"/>
        <v>0.78524199947103923</v>
      </c>
      <c r="S110" s="9">
        <f t="shared" si="17"/>
        <v>0.8</v>
      </c>
    </row>
    <row r="111" spans="1:19" ht="15.5" x14ac:dyDescent="0.35">
      <c r="A111" s="27" t="s">
        <v>49</v>
      </c>
      <c r="B111" s="7">
        <v>11</v>
      </c>
      <c r="C111" s="56">
        <v>954</v>
      </c>
      <c r="D111" s="56">
        <v>584</v>
      </c>
      <c r="E111" s="57">
        <v>1538</v>
      </c>
      <c r="F111" s="56">
        <v>868</v>
      </c>
      <c r="G111" s="56">
        <v>519</v>
      </c>
      <c r="H111" s="57">
        <v>1387</v>
      </c>
      <c r="I111" s="56">
        <v>619</v>
      </c>
      <c r="J111" s="56">
        <v>370</v>
      </c>
      <c r="K111" s="56">
        <v>989</v>
      </c>
      <c r="L111" s="8">
        <v>3914</v>
      </c>
      <c r="M111" s="2">
        <f t="shared" si="18"/>
        <v>2441</v>
      </c>
      <c r="N111" s="8">
        <v>1473</v>
      </c>
      <c r="O111" s="16">
        <f t="shared" si="15"/>
        <v>62.365866121614722</v>
      </c>
      <c r="P111" s="14">
        <f t="shared" si="14"/>
        <v>37.634133878385285</v>
      </c>
      <c r="Q111" s="9" t="s">
        <v>74</v>
      </c>
      <c r="R111" s="19">
        <f t="shared" si="13"/>
        <v>0.60344121261777961</v>
      </c>
      <c r="S111" s="9">
        <f t="shared" si="17"/>
        <v>0.6</v>
      </c>
    </row>
    <row r="112" spans="1:19" ht="15.5" x14ac:dyDescent="0.35">
      <c r="A112" s="27" t="s">
        <v>50</v>
      </c>
      <c r="B112" s="7">
        <v>13</v>
      </c>
      <c r="C112" s="57">
        <v>2202</v>
      </c>
      <c r="D112" s="57">
        <v>3590</v>
      </c>
      <c r="E112" s="57">
        <v>5792</v>
      </c>
      <c r="F112" s="57">
        <v>1716</v>
      </c>
      <c r="G112" s="57">
        <v>2853</v>
      </c>
      <c r="H112" s="57">
        <v>4569</v>
      </c>
      <c r="I112" s="57">
        <v>1004</v>
      </c>
      <c r="J112" s="57">
        <v>2231</v>
      </c>
      <c r="K112" s="57">
        <v>3235</v>
      </c>
      <c r="L112" s="8">
        <v>13596</v>
      </c>
      <c r="M112" s="2">
        <f t="shared" si="18"/>
        <v>4922</v>
      </c>
      <c r="N112" s="8">
        <v>8674</v>
      </c>
      <c r="O112" s="16">
        <f t="shared" si="15"/>
        <v>36.201824065901732</v>
      </c>
      <c r="P112" s="14">
        <f t="shared" si="14"/>
        <v>63.798175934098268</v>
      </c>
      <c r="Q112" s="9" t="s">
        <v>74</v>
      </c>
      <c r="R112" s="19">
        <f t="shared" si="13"/>
        <v>1.7622917513206016</v>
      </c>
      <c r="S112" s="9">
        <f t="shared" si="17"/>
        <v>1.8</v>
      </c>
    </row>
    <row r="113" spans="1:19" ht="15.5" x14ac:dyDescent="0.35">
      <c r="A113" s="27" t="s">
        <v>51</v>
      </c>
      <c r="B113" s="7">
        <v>16</v>
      </c>
      <c r="C113" s="56">
        <v>738</v>
      </c>
      <c r="D113" s="56">
        <v>691</v>
      </c>
      <c r="E113" s="57">
        <v>1429</v>
      </c>
      <c r="F113" s="56">
        <v>825</v>
      </c>
      <c r="G113" s="56">
        <v>745</v>
      </c>
      <c r="H113" s="57">
        <v>1570</v>
      </c>
      <c r="I113" s="56">
        <v>639</v>
      </c>
      <c r="J113" s="56">
        <v>623</v>
      </c>
      <c r="K113" s="57">
        <v>1262</v>
      </c>
      <c r="L113" s="8">
        <v>4261</v>
      </c>
      <c r="M113" s="2">
        <f t="shared" si="18"/>
        <v>2202</v>
      </c>
      <c r="N113" s="8">
        <v>2059</v>
      </c>
      <c r="O113" s="16">
        <f t="shared" si="15"/>
        <v>51.678009856841115</v>
      </c>
      <c r="P113" s="14">
        <f t="shared" si="14"/>
        <v>48.321990143158885</v>
      </c>
      <c r="Q113" s="9" t="s">
        <v>74</v>
      </c>
      <c r="R113" s="19">
        <f t="shared" ref="R113:R139" si="19">P113/O113</f>
        <v>0.93505903723887385</v>
      </c>
      <c r="S113" s="9">
        <f t="shared" si="17"/>
        <v>0.9</v>
      </c>
    </row>
    <row r="114" spans="1:19" ht="15.5" x14ac:dyDescent="0.35">
      <c r="A114" s="27" t="s">
        <v>52</v>
      </c>
      <c r="B114" s="7">
        <v>12</v>
      </c>
      <c r="C114" s="56">
        <v>649</v>
      </c>
      <c r="D114" s="56">
        <v>479</v>
      </c>
      <c r="E114" s="57">
        <v>1128</v>
      </c>
      <c r="F114" s="56">
        <v>728</v>
      </c>
      <c r="G114" s="56">
        <v>442</v>
      </c>
      <c r="H114" s="57">
        <v>1170</v>
      </c>
      <c r="I114" s="56">
        <v>479</v>
      </c>
      <c r="J114" s="56">
        <v>390</v>
      </c>
      <c r="K114" s="56">
        <v>869</v>
      </c>
      <c r="L114" s="8">
        <v>3167</v>
      </c>
      <c r="M114" s="2">
        <f t="shared" si="18"/>
        <v>1856</v>
      </c>
      <c r="N114" s="8">
        <v>1311</v>
      </c>
      <c r="O114" s="16">
        <f t="shared" si="15"/>
        <v>58.60435743605936</v>
      </c>
      <c r="P114" s="14">
        <f t="shared" si="14"/>
        <v>41.39564256394064</v>
      </c>
      <c r="Q114" s="9" t="s">
        <v>74</v>
      </c>
      <c r="R114" s="19">
        <f t="shared" si="19"/>
        <v>0.70635775862068972</v>
      </c>
      <c r="S114" s="9">
        <f t="shared" si="17"/>
        <v>0.7</v>
      </c>
    </row>
    <row r="115" spans="1:19" ht="15.5" x14ac:dyDescent="0.35">
      <c r="A115" s="27" t="s">
        <v>53</v>
      </c>
      <c r="B115" s="7">
        <v>43</v>
      </c>
      <c r="C115" s="57">
        <v>1550</v>
      </c>
      <c r="D115" s="57">
        <v>1475</v>
      </c>
      <c r="E115" s="57">
        <v>3025</v>
      </c>
      <c r="F115" s="57">
        <v>1566</v>
      </c>
      <c r="G115" s="57">
        <v>1520</v>
      </c>
      <c r="H115" s="57">
        <v>3086</v>
      </c>
      <c r="I115" s="57">
        <v>1122</v>
      </c>
      <c r="J115" s="57">
        <v>1158</v>
      </c>
      <c r="K115" s="57">
        <v>2280</v>
      </c>
      <c r="L115" s="8">
        <v>8391</v>
      </c>
      <c r="M115" s="2">
        <f t="shared" si="18"/>
        <v>4238</v>
      </c>
      <c r="N115" s="8">
        <v>4153</v>
      </c>
      <c r="O115" s="16">
        <f t="shared" si="15"/>
        <v>50.506495054224764</v>
      </c>
      <c r="P115" s="14">
        <f t="shared" si="14"/>
        <v>49.493504945775236</v>
      </c>
      <c r="Q115" s="9" t="s">
        <v>74</v>
      </c>
      <c r="R115" s="19">
        <f t="shared" si="19"/>
        <v>0.97994336951392169</v>
      </c>
      <c r="S115" s="9">
        <f t="shared" si="17"/>
        <v>1</v>
      </c>
    </row>
    <row r="116" spans="1:19" ht="15.5" x14ac:dyDescent="0.35">
      <c r="A116" s="27" t="s">
        <v>54</v>
      </c>
      <c r="B116" s="7">
        <v>17</v>
      </c>
      <c r="C116" s="57">
        <v>4385</v>
      </c>
      <c r="D116" s="57">
        <v>4864</v>
      </c>
      <c r="E116" s="57">
        <v>9249</v>
      </c>
      <c r="F116" s="57">
        <v>2946</v>
      </c>
      <c r="G116" s="57">
        <v>4453</v>
      </c>
      <c r="H116" s="57">
        <v>7399</v>
      </c>
      <c r="I116" s="57">
        <v>2134</v>
      </c>
      <c r="J116" s="57">
        <v>2935</v>
      </c>
      <c r="K116" s="57">
        <v>5069</v>
      </c>
      <c r="L116" s="8">
        <v>21717</v>
      </c>
      <c r="M116" s="2">
        <f t="shared" si="18"/>
        <v>9465</v>
      </c>
      <c r="N116" s="8">
        <v>12252</v>
      </c>
      <c r="O116" s="16">
        <f t="shared" si="15"/>
        <v>43.583367868490122</v>
      </c>
      <c r="P116" s="14">
        <f t="shared" si="14"/>
        <v>56.416632131509878</v>
      </c>
      <c r="Q116" s="9" t="s">
        <v>74</v>
      </c>
      <c r="R116" s="19">
        <f t="shared" si="19"/>
        <v>1.2944532488114104</v>
      </c>
      <c r="S116" s="9">
        <f t="shared" si="17"/>
        <v>1.3</v>
      </c>
    </row>
    <row r="117" spans="1:19" ht="15.5" x14ac:dyDescent="0.35">
      <c r="A117" s="27" t="s">
        <v>5</v>
      </c>
      <c r="B117" s="3">
        <v>10</v>
      </c>
      <c r="C117" s="58">
        <v>1029</v>
      </c>
      <c r="D117" s="59">
        <v>504</v>
      </c>
      <c r="E117" s="59">
        <v>1533</v>
      </c>
      <c r="F117" s="58">
        <v>708</v>
      </c>
      <c r="G117" s="59">
        <v>398</v>
      </c>
      <c r="H117" s="58">
        <v>1106</v>
      </c>
      <c r="I117" s="58">
        <v>653</v>
      </c>
      <c r="J117" s="59">
        <v>542</v>
      </c>
      <c r="K117" s="58">
        <v>1195</v>
      </c>
      <c r="L117" s="3">
        <v>3834</v>
      </c>
      <c r="M117" s="2">
        <f t="shared" si="18"/>
        <v>2390</v>
      </c>
      <c r="N117" s="3">
        <v>1444</v>
      </c>
      <c r="O117" s="16">
        <f t="shared" si="15"/>
        <v>62.33698487219614</v>
      </c>
      <c r="P117" s="14">
        <f t="shared" si="14"/>
        <v>37.66301512780386</v>
      </c>
      <c r="Q117" s="9" t="s">
        <v>75</v>
      </c>
      <c r="R117" s="19">
        <f t="shared" si="19"/>
        <v>0.60418410041840998</v>
      </c>
      <c r="S117" s="9">
        <f t="shared" si="17"/>
        <v>0.6</v>
      </c>
    </row>
    <row r="118" spans="1:19" ht="15.5" x14ac:dyDescent="0.35">
      <c r="A118" s="27" t="s">
        <v>33</v>
      </c>
      <c r="B118" s="3">
        <v>15</v>
      </c>
      <c r="C118" s="58">
        <v>2501</v>
      </c>
      <c r="D118" s="59">
        <v>2903</v>
      </c>
      <c r="E118" s="59">
        <v>5404</v>
      </c>
      <c r="F118" s="58">
        <v>2526</v>
      </c>
      <c r="G118" s="59">
        <v>2618</v>
      </c>
      <c r="H118" s="58">
        <v>5144</v>
      </c>
      <c r="I118" s="58">
        <v>1847</v>
      </c>
      <c r="J118" s="59">
        <v>2161</v>
      </c>
      <c r="K118" s="58">
        <v>4008</v>
      </c>
      <c r="L118" s="3">
        <v>14556</v>
      </c>
      <c r="M118" s="2">
        <f t="shared" si="18"/>
        <v>6874</v>
      </c>
      <c r="N118" s="3">
        <v>7682</v>
      </c>
      <c r="O118" s="16">
        <f t="shared" si="15"/>
        <v>47.224512228634239</v>
      </c>
      <c r="P118" s="14">
        <f t="shared" si="14"/>
        <v>52.775487771365761</v>
      </c>
      <c r="Q118" s="9" t="s">
        <v>75</v>
      </c>
      <c r="R118" s="19">
        <f t="shared" si="19"/>
        <v>1.117544370090195</v>
      </c>
      <c r="S118" s="9">
        <f t="shared" si="17"/>
        <v>1.1000000000000001</v>
      </c>
    </row>
    <row r="119" spans="1:19" ht="15.5" x14ac:dyDescent="0.35">
      <c r="A119" s="27" t="s">
        <v>34</v>
      </c>
      <c r="B119" s="3">
        <v>9</v>
      </c>
      <c r="C119" s="58">
        <v>1271</v>
      </c>
      <c r="D119" s="59">
        <v>901</v>
      </c>
      <c r="E119" s="59">
        <v>2172</v>
      </c>
      <c r="F119" s="58">
        <v>1116</v>
      </c>
      <c r="G119" s="59">
        <v>857</v>
      </c>
      <c r="H119" s="58">
        <v>1973</v>
      </c>
      <c r="I119" s="58">
        <v>1165</v>
      </c>
      <c r="J119" s="59">
        <v>776</v>
      </c>
      <c r="K119" s="58">
        <v>1941</v>
      </c>
      <c r="L119" s="3">
        <v>6086</v>
      </c>
      <c r="M119" s="2">
        <f t="shared" si="18"/>
        <v>3552</v>
      </c>
      <c r="N119" s="3">
        <v>2534</v>
      </c>
      <c r="O119" s="16">
        <f t="shared" si="15"/>
        <v>58.363457114689453</v>
      </c>
      <c r="P119" s="14">
        <f t="shared" si="14"/>
        <v>41.636542885310554</v>
      </c>
      <c r="Q119" s="9" t="s">
        <v>75</v>
      </c>
      <c r="R119" s="19">
        <f t="shared" si="19"/>
        <v>0.71340090090090102</v>
      </c>
      <c r="S119" s="9">
        <f t="shared" si="17"/>
        <v>0.7</v>
      </c>
    </row>
    <row r="120" spans="1:19" ht="15.5" x14ac:dyDescent="0.35">
      <c r="A120" s="27" t="s">
        <v>35</v>
      </c>
      <c r="B120" s="3">
        <v>15</v>
      </c>
      <c r="C120" s="58">
        <v>3502</v>
      </c>
      <c r="D120" s="59">
        <v>3041</v>
      </c>
      <c r="E120" s="59">
        <v>6543</v>
      </c>
      <c r="F120" s="58">
        <v>2979</v>
      </c>
      <c r="G120" s="59">
        <v>3012</v>
      </c>
      <c r="H120" s="58">
        <v>5991</v>
      </c>
      <c r="I120" s="58">
        <v>2499</v>
      </c>
      <c r="J120" s="59">
        <v>1947</v>
      </c>
      <c r="K120" s="58">
        <v>4446</v>
      </c>
      <c r="L120" s="3">
        <v>16980</v>
      </c>
      <c r="M120" s="2">
        <f t="shared" si="18"/>
        <v>8980</v>
      </c>
      <c r="N120" s="3">
        <v>8000</v>
      </c>
      <c r="O120" s="16">
        <f t="shared" si="15"/>
        <v>52.885747938751472</v>
      </c>
      <c r="P120" s="14">
        <f t="shared" si="14"/>
        <v>47.114252061248528</v>
      </c>
      <c r="Q120" s="9" t="s">
        <v>75</v>
      </c>
      <c r="R120" s="19">
        <f t="shared" si="19"/>
        <v>0.89086859688195996</v>
      </c>
      <c r="S120" s="9">
        <f t="shared" si="17"/>
        <v>0.9</v>
      </c>
    </row>
    <row r="121" spans="1:19" ht="15.5" x14ac:dyDescent="0.35">
      <c r="A121" s="27" t="s">
        <v>36</v>
      </c>
      <c r="B121" s="3">
        <v>13</v>
      </c>
      <c r="C121" s="58">
        <v>908</v>
      </c>
      <c r="D121" s="59">
        <v>465</v>
      </c>
      <c r="E121" s="59">
        <v>1373</v>
      </c>
      <c r="F121" s="58">
        <v>1025</v>
      </c>
      <c r="G121" s="59">
        <v>857</v>
      </c>
      <c r="H121" s="58">
        <v>1882</v>
      </c>
      <c r="I121" s="58">
        <v>1257</v>
      </c>
      <c r="J121" s="59">
        <v>631</v>
      </c>
      <c r="K121" s="58">
        <v>1888</v>
      </c>
      <c r="L121" s="3">
        <v>5143</v>
      </c>
      <c r="M121" s="2">
        <f t="shared" si="18"/>
        <v>3190</v>
      </c>
      <c r="N121" s="3">
        <v>1953</v>
      </c>
      <c r="O121" s="16">
        <f t="shared" si="15"/>
        <v>62.026054831810228</v>
      </c>
      <c r="P121" s="14">
        <f t="shared" si="14"/>
        <v>37.973945168189772</v>
      </c>
      <c r="Q121" s="9" t="s">
        <v>75</v>
      </c>
      <c r="R121" s="19">
        <f t="shared" si="19"/>
        <v>0.61222570532915355</v>
      </c>
      <c r="S121" s="9">
        <f t="shared" si="17"/>
        <v>0.6</v>
      </c>
    </row>
    <row r="122" spans="1:19" ht="15.5" x14ac:dyDescent="0.35">
      <c r="A122" s="27" t="s">
        <v>37</v>
      </c>
      <c r="B122" s="3">
        <v>13</v>
      </c>
      <c r="C122" s="58">
        <v>541</v>
      </c>
      <c r="D122" s="59">
        <v>532</v>
      </c>
      <c r="E122" s="59">
        <v>1073</v>
      </c>
      <c r="F122" s="58">
        <v>601</v>
      </c>
      <c r="G122" s="59">
        <v>542</v>
      </c>
      <c r="H122" s="58">
        <v>1143</v>
      </c>
      <c r="I122" s="58">
        <v>551</v>
      </c>
      <c r="J122" s="59">
        <v>533</v>
      </c>
      <c r="K122" s="58">
        <v>1084</v>
      </c>
      <c r="L122" s="3">
        <v>3300</v>
      </c>
      <c r="M122" s="2">
        <f t="shared" si="18"/>
        <v>1693</v>
      </c>
      <c r="N122" s="3">
        <v>1607</v>
      </c>
      <c r="O122" s="16">
        <f t="shared" si="15"/>
        <v>51.303030303030305</v>
      </c>
      <c r="P122" s="14">
        <f t="shared" si="14"/>
        <v>48.696969696969703</v>
      </c>
      <c r="Q122" s="9" t="s">
        <v>75</v>
      </c>
      <c r="R122" s="19">
        <f t="shared" si="19"/>
        <v>0.9492025989367987</v>
      </c>
      <c r="S122" s="9">
        <f t="shared" ref="S122:S139" si="20">ROUND(R122, 1)</f>
        <v>0.9</v>
      </c>
    </row>
    <row r="123" spans="1:19" ht="15.5" x14ac:dyDescent="0.35">
      <c r="A123" s="27" t="s">
        <v>38</v>
      </c>
      <c r="B123" s="3">
        <v>23</v>
      </c>
      <c r="C123" s="58">
        <v>1638</v>
      </c>
      <c r="D123" s="59">
        <v>1725</v>
      </c>
      <c r="E123" s="59">
        <v>3363</v>
      </c>
      <c r="F123" s="58">
        <v>1315</v>
      </c>
      <c r="G123" s="59">
        <v>1463</v>
      </c>
      <c r="H123" s="58">
        <v>2778</v>
      </c>
      <c r="I123" s="58">
        <v>1405</v>
      </c>
      <c r="J123" s="59">
        <v>1510</v>
      </c>
      <c r="K123" s="58">
        <v>2915</v>
      </c>
      <c r="L123" s="3">
        <v>9056</v>
      </c>
      <c r="M123" s="2">
        <f t="shared" si="18"/>
        <v>4358</v>
      </c>
      <c r="N123" s="3">
        <v>4698</v>
      </c>
      <c r="O123" s="16">
        <f t="shared" si="15"/>
        <v>48.122791519434628</v>
      </c>
      <c r="P123" s="14">
        <f t="shared" si="14"/>
        <v>51.877208480565372</v>
      </c>
      <c r="Q123" s="9" t="s">
        <v>75</v>
      </c>
      <c r="R123" s="19">
        <f t="shared" si="19"/>
        <v>1.0780174391922901</v>
      </c>
      <c r="S123" s="9">
        <f t="shared" si="20"/>
        <v>1.1000000000000001</v>
      </c>
    </row>
    <row r="124" spans="1:19" ht="15.5" x14ac:dyDescent="0.35">
      <c r="A124" s="27" t="s">
        <v>39</v>
      </c>
      <c r="B124" s="3">
        <v>28</v>
      </c>
      <c r="C124" s="58">
        <v>942</v>
      </c>
      <c r="D124" s="59">
        <v>919</v>
      </c>
      <c r="E124" s="59">
        <v>1861</v>
      </c>
      <c r="F124" s="58">
        <v>1150</v>
      </c>
      <c r="G124" s="59">
        <v>1104</v>
      </c>
      <c r="H124" s="58">
        <v>2254</v>
      </c>
      <c r="I124" s="58">
        <v>1053</v>
      </c>
      <c r="J124" s="59">
        <v>891</v>
      </c>
      <c r="K124" s="58">
        <v>1944</v>
      </c>
      <c r="L124" s="3">
        <v>6059</v>
      </c>
      <c r="M124" s="2">
        <f t="shared" si="18"/>
        <v>3145</v>
      </c>
      <c r="N124" s="3">
        <v>2914</v>
      </c>
      <c r="O124" s="16">
        <f t="shared" si="15"/>
        <v>51.906255157616762</v>
      </c>
      <c r="P124" s="14">
        <f t="shared" si="14"/>
        <v>48.093744842383231</v>
      </c>
      <c r="Q124" s="9" t="s">
        <v>75</v>
      </c>
      <c r="R124" s="19">
        <f t="shared" si="19"/>
        <v>0.92655007949125601</v>
      </c>
      <c r="S124" s="9">
        <f t="shared" si="20"/>
        <v>0.9</v>
      </c>
    </row>
    <row r="125" spans="1:19" ht="15.5" x14ac:dyDescent="0.35">
      <c r="A125" s="27" t="s">
        <v>40</v>
      </c>
      <c r="B125" s="3">
        <v>16</v>
      </c>
      <c r="C125" s="58">
        <v>2636</v>
      </c>
      <c r="D125" s="59">
        <v>3396</v>
      </c>
      <c r="E125" s="59">
        <v>6032</v>
      </c>
      <c r="F125" s="58">
        <v>2630</v>
      </c>
      <c r="G125" s="59">
        <v>3551</v>
      </c>
      <c r="H125" s="58">
        <v>6181</v>
      </c>
      <c r="I125" s="58">
        <v>2815</v>
      </c>
      <c r="J125" s="59">
        <v>3451</v>
      </c>
      <c r="K125" s="58">
        <v>6266</v>
      </c>
      <c r="L125" s="3">
        <v>18479</v>
      </c>
      <c r="M125" s="2">
        <f t="shared" si="18"/>
        <v>8081</v>
      </c>
      <c r="N125" s="3">
        <v>10398</v>
      </c>
      <c r="O125" s="16">
        <f t="shared" si="15"/>
        <v>43.730721359380922</v>
      </c>
      <c r="P125" s="14">
        <f t="shared" si="14"/>
        <v>56.269278640619078</v>
      </c>
      <c r="Q125" s="9" t="s">
        <v>75</v>
      </c>
      <c r="R125" s="19">
        <f t="shared" si="19"/>
        <v>1.2867219403539165</v>
      </c>
      <c r="S125" s="9">
        <f t="shared" si="20"/>
        <v>1.3</v>
      </c>
    </row>
    <row r="126" spans="1:19" ht="15.5" x14ac:dyDescent="0.35">
      <c r="A126" s="27" t="s">
        <v>41</v>
      </c>
      <c r="B126" s="3">
        <v>11</v>
      </c>
      <c r="C126" s="58">
        <v>755</v>
      </c>
      <c r="D126" s="59">
        <v>2770</v>
      </c>
      <c r="E126" s="59">
        <v>3525</v>
      </c>
      <c r="F126" s="58">
        <v>1042</v>
      </c>
      <c r="G126" s="59">
        <v>2597</v>
      </c>
      <c r="H126" s="58">
        <v>3639</v>
      </c>
      <c r="I126" s="58">
        <v>1034</v>
      </c>
      <c r="J126" s="59">
        <v>3319</v>
      </c>
      <c r="K126" s="58">
        <v>4353</v>
      </c>
      <c r="L126" s="3">
        <v>11517</v>
      </c>
      <c r="M126" s="2">
        <f t="shared" si="18"/>
        <v>2831</v>
      </c>
      <c r="N126" s="3">
        <v>8686</v>
      </c>
      <c r="O126" s="16">
        <f t="shared" si="15"/>
        <v>24.581054093948076</v>
      </c>
      <c r="P126" s="14">
        <f t="shared" si="14"/>
        <v>75.418945906051931</v>
      </c>
      <c r="Q126" s="9" t="s">
        <v>75</v>
      </c>
      <c r="R126" s="19">
        <f t="shared" si="19"/>
        <v>3.0681737901801487</v>
      </c>
      <c r="S126" s="9">
        <f t="shared" si="20"/>
        <v>3.1</v>
      </c>
    </row>
    <row r="127" spans="1:19" ht="15.5" x14ac:dyDescent="0.35">
      <c r="A127" s="27" t="s">
        <v>42</v>
      </c>
      <c r="B127" s="3">
        <v>15</v>
      </c>
      <c r="C127" s="58">
        <v>1152</v>
      </c>
      <c r="D127" s="59">
        <v>984</v>
      </c>
      <c r="E127" s="59">
        <v>2136</v>
      </c>
      <c r="F127" s="58">
        <v>1298</v>
      </c>
      <c r="G127" s="59">
        <v>1064</v>
      </c>
      <c r="H127" s="58">
        <v>2362</v>
      </c>
      <c r="I127" s="58">
        <v>1042</v>
      </c>
      <c r="J127" s="59">
        <v>895</v>
      </c>
      <c r="K127" s="58">
        <v>1937</v>
      </c>
      <c r="L127" s="3">
        <v>6435</v>
      </c>
      <c r="M127" s="2">
        <f t="shared" si="18"/>
        <v>3492</v>
      </c>
      <c r="N127" s="3">
        <v>2943</v>
      </c>
      <c r="O127" s="16">
        <f t="shared" si="15"/>
        <v>54.265734265734267</v>
      </c>
      <c r="P127" s="14">
        <f t="shared" si="14"/>
        <v>45.734265734265733</v>
      </c>
      <c r="Q127" s="9" t="s">
        <v>75</v>
      </c>
      <c r="R127" s="19">
        <f t="shared" si="19"/>
        <v>0.84278350515463918</v>
      </c>
      <c r="S127" s="9">
        <f t="shared" si="20"/>
        <v>0.8</v>
      </c>
    </row>
    <row r="128" spans="1:19" ht="15.5" x14ac:dyDescent="0.35">
      <c r="A128" s="27" t="s">
        <v>43</v>
      </c>
      <c r="B128" s="3">
        <v>9</v>
      </c>
      <c r="C128" s="58">
        <v>455</v>
      </c>
      <c r="D128" s="59">
        <v>428</v>
      </c>
      <c r="E128" s="59">
        <v>883</v>
      </c>
      <c r="F128" s="58">
        <v>378</v>
      </c>
      <c r="G128" s="59">
        <v>341</v>
      </c>
      <c r="H128" s="59">
        <v>719</v>
      </c>
      <c r="I128" s="58">
        <v>489</v>
      </c>
      <c r="J128" s="59">
        <v>433</v>
      </c>
      <c r="K128" s="58">
        <v>922</v>
      </c>
      <c r="L128" s="3">
        <v>2524</v>
      </c>
      <c r="M128" s="2">
        <f t="shared" si="18"/>
        <v>1322</v>
      </c>
      <c r="N128" s="3">
        <v>1202</v>
      </c>
      <c r="O128" s="16">
        <f t="shared" si="15"/>
        <v>52.377179080824085</v>
      </c>
      <c r="P128" s="14">
        <f t="shared" si="14"/>
        <v>47.622820919175915</v>
      </c>
      <c r="Q128" s="9" t="s">
        <v>75</v>
      </c>
      <c r="R128" s="19">
        <f t="shared" si="19"/>
        <v>0.90922844175491691</v>
      </c>
      <c r="S128" s="9">
        <f t="shared" si="20"/>
        <v>0.9</v>
      </c>
    </row>
    <row r="129" spans="1:19" ht="15.5" x14ac:dyDescent="0.35">
      <c r="A129" s="27" t="s">
        <v>44</v>
      </c>
      <c r="B129" s="3">
        <v>14</v>
      </c>
      <c r="C129" s="58">
        <v>970</v>
      </c>
      <c r="D129" s="59">
        <v>718</v>
      </c>
      <c r="E129" s="59">
        <v>1688</v>
      </c>
      <c r="F129" s="58">
        <v>1200</v>
      </c>
      <c r="G129" s="59">
        <v>876</v>
      </c>
      <c r="H129" s="58">
        <v>2076</v>
      </c>
      <c r="I129" s="58">
        <v>1181</v>
      </c>
      <c r="J129" s="59">
        <v>915</v>
      </c>
      <c r="K129" s="58">
        <v>2096</v>
      </c>
      <c r="L129" s="3">
        <v>5860</v>
      </c>
      <c r="M129" s="2">
        <f t="shared" si="18"/>
        <v>3351</v>
      </c>
      <c r="N129" s="3">
        <v>2509</v>
      </c>
      <c r="O129" s="16">
        <f t="shared" si="15"/>
        <v>57.184300341296925</v>
      </c>
      <c r="P129" s="14">
        <f t="shared" si="14"/>
        <v>42.815699658703075</v>
      </c>
      <c r="Q129" s="9" t="s">
        <v>75</v>
      </c>
      <c r="R129" s="19">
        <f t="shared" si="19"/>
        <v>0.74873172187406756</v>
      </c>
      <c r="S129" s="9">
        <f t="shared" si="20"/>
        <v>0.7</v>
      </c>
    </row>
    <row r="130" spans="1:19" ht="15.5" x14ac:dyDescent="0.35">
      <c r="A130" s="27" t="s">
        <v>45</v>
      </c>
      <c r="B130" s="3">
        <v>15</v>
      </c>
      <c r="C130" s="58">
        <v>938</v>
      </c>
      <c r="D130" s="59">
        <v>589</v>
      </c>
      <c r="E130" s="59">
        <v>1527</v>
      </c>
      <c r="F130" s="58">
        <v>927</v>
      </c>
      <c r="G130" s="59">
        <v>490</v>
      </c>
      <c r="H130" s="58">
        <v>1417</v>
      </c>
      <c r="I130" s="58">
        <v>801</v>
      </c>
      <c r="J130" s="59">
        <v>478</v>
      </c>
      <c r="K130" s="58">
        <v>1279</v>
      </c>
      <c r="L130" s="3">
        <v>4223</v>
      </c>
      <c r="M130" s="2">
        <f t="shared" si="18"/>
        <v>2666</v>
      </c>
      <c r="N130" s="3">
        <v>1557</v>
      </c>
      <c r="O130" s="16">
        <f t="shared" si="15"/>
        <v>63.130475964953824</v>
      </c>
      <c r="P130" s="14">
        <f t="shared" ref="P130:P193" si="21">N130/L130*100</f>
        <v>36.869524035046176</v>
      </c>
      <c r="Q130" s="9" t="s">
        <v>75</v>
      </c>
      <c r="R130" s="19">
        <f t="shared" si="19"/>
        <v>0.58402100525131284</v>
      </c>
      <c r="S130" s="9">
        <f t="shared" si="20"/>
        <v>0.6</v>
      </c>
    </row>
    <row r="131" spans="1:19" ht="15.5" x14ac:dyDescent="0.35">
      <c r="A131" s="27" t="s">
        <v>46</v>
      </c>
      <c r="B131" s="3">
        <v>16</v>
      </c>
      <c r="C131" s="58">
        <v>1453</v>
      </c>
      <c r="D131" s="59">
        <v>926</v>
      </c>
      <c r="E131" s="59">
        <v>2379</v>
      </c>
      <c r="F131" s="58">
        <v>1262</v>
      </c>
      <c r="G131" s="59">
        <v>871</v>
      </c>
      <c r="H131" s="58">
        <v>2133</v>
      </c>
      <c r="I131" s="58">
        <v>1204</v>
      </c>
      <c r="J131" s="59">
        <v>801</v>
      </c>
      <c r="K131" s="58">
        <v>2005</v>
      </c>
      <c r="L131" s="3">
        <v>6517</v>
      </c>
      <c r="M131" s="2">
        <f t="shared" si="18"/>
        <v>3919</v>
      </c>
      <c r="N131" s="3">
        <v>2598</v>
      </c>
      <c r="O131" s="16">
        <f t="shared" ref="O131:O194" si="22">M131/L131*100</f>
        <v>60.135031456191498</v>
      </c>
      <c r="P131" s="14">
        <f t="shared" si="21"/>
        <v>39.864968543808502</v>
      </c>
      <c r="Q131" s="9" t="s">
        <v>75</v>
      </c>
      <c r="R131" s="19">
        <f t="shared" si="19"/>
        <v>0.6629242153610615</v>
      </c>
      <c r="S131" s="9">
        <f t="shared" si="20"/>
        <v>0.7</v>
      </c>
    </row>
    <row r="132" spans="1:19" ht="15.5" x14ac:dyDescent="0.35">
      <c r="A132" s="27" t="s">
        <v>47</v>
      </c>
      <c r="B132" s="3">
        <v>5</v>
      </c>
      <c r="C132" s="58">
        <v>477</v>
      </c>
      <c r="D132" s="59">
        <v>364</v>
      </c>
      <c r="E132" s="59">
        <v>841</v>
      </c>
      <c r="F132" s="58">
        <v>554</v>
      </c>
      <c r="G132" s="59">
        <v>341</v>
      </c>
      <c r="H132" s="59">
        <v>895</v>
      </c>
      <c r="I132" s="58">
        <v>536</v>
      </c>
      <c r="J132" s="59">
        <v>253</v>
      </c>
      <c r="K132" s="58">
        <v>789</v>
      </c>
      <c r="L132" s="3">
        <v>2525</v>
      </c>
      <c r="M132" s="2">
        <f t="shared" si="18"/>
        <v>1567</v>
      </c>
      <c r="N132" s="3">
        <v>958</v>
      </c>
      <c r="O132" s="16">
        <f t="shared" si="22"/>
        <v>62.059405940594061</v>
      </c>
      <c r="P132" s="14">
        <f t="shared" si="21"/>
        <v>37.940594059405939</v>
      </c>
      <c r="Q132" s="9" t="s">
        <v>75</v>
      </c>
      <c r="R132" s="19">
        <f t="shared" si="19"/>
        <v>0.61135928525845562</v>
      </c>
      <c r="S132" s="9">
        <f t="shared" si="20"/>
        <v>0.6</v>
      </c>
    </row>
    <row r="133" spans="1:19" ht="15.5" x14ac:dyDescent="0.35">
      <c r="A133" s="27" t="s">
        <v>48</v>
      </c>
      <c r="B133" s="3">
        <v>21</v>
      </c>
      <c r="C133" s="58">
        <v>2120</v>
      </c>
      <c r="D133" s="59">
        <v>1551</v>
      </c>
      <c r="E133" s="59">
        <v>3671</v>
      </c>
      <c r="F133" s="58">
        <v>2381</v>
      </c>
      <c r="G133" s="59">
        <v>1625</v>
      </c>
      <c r="H133" s="58">
        <v>4006</v>
      </c>
      <c r="I133" s="58">
        <v>1884</v>
      </c>
      <c r="J133" s="59">
        <v>1191</v>
      </c>
      <c r="K133" s="58">
        <v>3075</v>
      </c>
      <c r="L133" s="3">
        <v>10752</v>
      </c>
      <c r="M133" s="2">
        <f t="shared" si="18"/>
        <v>6385</v>
      </c>
      <c r="N133" s="3">
        <v>4367</v>
      </c>
      <c r="O133" s="16">
        <f t="shared" si="22"/>
        <v>59.384300595238095</v>
      </c>
      <c r="P133" s="14">
        <f t="shared" si="21"/>
        <v>40.615699404761905</v>
      </c>
      <c r="Q133" s="9" t="s">
        <v>75</v>
      </c>
      <c r="R133" s="19">
        <f t="shared" si="19"/>
        <v>0.68394675019577134</v>
      </c>
      <c r="S133" s="9">
        <f t="shared" si="20"/>
        <v>0.7</v>
      </c>
    </row>
    <row r="134" spans="1:19" ht="15.5" x14ac:dyDescent="0.35">
      <c r="A134" s="27" t="s">
        <v>49</v>
      </c>
      <c r="B134" s="3">
        <v>6</v>
      </c>
      <c r="C134" s="58">
        <v>994</v>
      </c>
      <c r="D134" s="59">
        <v>623</v>
      </c>
      <c r="E134" s="59">
        <v>1617</v>
      </c>
      <c r="F134" s="58">
        <v>1109</v>
      </c>
      <c r="G134" s="59">
        <v>694</v>
      </c>
      <c r="H134" s="58">
        <v>1803</v>
      </c>
      <c r="I134" s="58">
        <v>1148</v>
      </c>
      <c r="J134" s="59">
        <v>463</v>
      </c>
      <c r="K134" s="58">
        <v>1611</v>
      </c>
      <c r="L134" s="3">
        <v>5031</v>
      </c>
      <c r="M134" s="2">
        <f t="shared" ref="M134:M165" si="23">L134-N134</f>
        <v>3251</v>
      </c>
      <c r="N134" s="3">
        <v>1780</v>
      </c>
      <c r="O134" s="16">
        <f t="shared" si="22"/>
        <v>64.619359968197173</v>
      </c>
      <c r="P134" s="14">
        <f t="shared" si="21"/>
        <v>35.380640031802827</v>
      </c>
      <c r="Q134" s="9" t="s">
        <v>75</v>
      </c>
      <c r="R134" s="19">
        <f t="shared" si="19"/>
        <v>0.54752383881882505</v>
      </c>
      <c r="S134" s="9">
        <f t="shared" si="20"/>
        <v>0.5</v>
      </c>
    </row>
    <row r="135" spans="1:19" ht="15.5" x14ac:dyDescent="0.35">
      <c r="A135" s="27" t="s">
        <v>50</v>
      </c>
      <c r="B135" s="3">
        <v>13</v>
      </c>
      <c r="C135" s="58">
        <v>1887</v>
      </c>
      <c r="D135" s="59">
        <v>2997</v>
      </c>
      <c r="E135" s="59">
        <v>4884</v>
      </c>
      <c r="F135" s="58">
        <v>2041</v>
      </c>
      <c r="G135" s="59">
        <v>3077</v>
      </c>
      <c r="H135" s="58">
        <v>5118</v>
      </c>
      <c r="I135" s="58">
        <v>1626</v>
      </c>
      <c r="J135" s="59">
        <v>2579</v>
      </c>
      <c r="K135" s="58">
        <v>4205</v>
      </c>
      <c r="L135" s="3">
        <v>14207</v>
      </c>
      <c r="M135" s="2">
        <f t="shared" si="23"/>
        <v>5554</v>
      </c>
      <c r="N135" s="3">
        <v>8653</v>
      </c>
      <c r="O135" s="16">
        <f t="shared" si="22"/>
        <v>39.09340465967481</v>
      </c>
      <c r="P135" s="14">
        <f t="shared" si="21"/>
        <v>60.90659534032519</v>
      </c>
      <c r="Q135" s="9" t="s">
        <v>75</v>
      </c>
      <c r="R135" s="19">
        <f t="shared" si="19"/>
        <v>1.5579762333453366</v>
      </c>
      <c r="S135" s="9">
        <f t="shared" si="20"/>
        <v>1.6</v>
      </c>
    </row>
    <row r="136" spans="1:19" ht="15.5" x14ac:dyDescent="0.35">
      <c r="A136" s="27" t="s">
        <v>51</v>
      </c>
      <c r="B136" s="3">
        <v>16</v>
      </c>
      <c r="C136" s="58">
        <v>778</v>
      </c>
      <c r="D136" s="59">
        <v>699</v>
      </c>
      <c r="E136" s="59">
        <v>1477</v>
      </c>
      <c r="F136" s="58">
        <v>804</v>
      </c>
      <c r="G136" s="59">
        <v>756</v>
      </c>
      <c r="H136" s="58">
        <v>1560</v>
      </c>
      <c r="I136" s="58">
        <v>1001</v>
      </c>
      <c r="J136" s="59">
        <v>790</v>
      </c>
      <c r="K136" s="58">
        <v>1791</v>
      </c>
      <c r="L136" s="3">
        <v>4828</v>
      </c>
      <c r="M136" s="2">
        <f t="shared" si="23"/>
        <v>2583</v>
      </c>
      <c r="N136" s="3">
        <v>2245</v>
      </c>
      <c r="O136" s="16">
        <f t="shared" si="22"/>
        <v>53.500414250207129</v>
      </c>
      <c r="P136" s="14">
        <f t="shared" si="21"/>
        <v>46.499585749792878</v>
      </c>
      <c r="Q136" s="9" t="s">
        <v>75</v>
      </c>
      <c r="R136" s="19">
        <f t="shared" si="19"/>
        <v>0.86914440572977159</v>
      </c>
      <c r="S136" s="9">
        <f t="shared" si="20"/>
        <v>0.9</v>
      </c>
    </row>
    <row r="137" spans="1:19" ht="15.5" x14ac:dyDescent="0.35">
      <c r="A137" s="27" t="s">
        <v>52</v>
      </c>
      <c r="B137" s="3">
        <v>283</v>
      </c>
      <c r="C137" s="58">
        <v>1069</v>
      </c>
      <c r="D137" s="59">
        <v>335</v>
      </c>
      <c r="E137" s="59">
        <v>1404</v>
      </c>
      <c r="F137" s="58">
        <v>790</v>
      </c>
      <c r="G137" s="59">
        <v>210</v>
      </c>
      <c r="H137" s="58">
        <v>1000</v>
      </c>
      <c r="I137" s="58">
        <v>682</v>
      </c>
      <c r="J137" s="59">
        <v>172</v>
      </c>
      <c r="K137" s="58">
        <v>854</v>
      </c>
      <c r="L137" s="3">
        <v>3258</v>
      </c>
      <c r="M137" s="2">
        <f t="shared" si="23"/>
        <v>2541</v>
      </c>
      <c r="N137" s="3">
        <v>717</v>
      </c>
      <c r="O137" s="16">
        <f t="shared" si="22"/>
        <v>77.992633517495392</v>
      </c>
      <c r="P137" s="14">
        <f t="shared" si="21"/>
        <v>22.007366482504604</v>
      </c>
      <c r="Q137" s="9" t="s">
        <v>75</v>
      </c>
      <c r="R137" s="19">
        <f t="shared" si="19"/>
        <v>0.28217237308146403</v>
      </c>
      <c r="S137" s="9">
        <f t="shared" si="20"/>
        <v>0.3</v>
      </c>
    </row>
    <row r="138" spans="1:19" ht="15.5" x14ac:dyDescent="0.35">
      <c r="A138" s="27" t="s">
        <v>53</v>
      </c>
      <c r="B138" s="3">
        <v>30</v>
      </c>
      <c r="C138" s="58">
        <v>1557</v>
      </c>
      <c r="D138" s="59">
        <v>1811</v>
      </c>
      <c r="E138" s="59">
        <v>3368</v>
      </c>
      <c r="F138" s="58">
        <v>1588</v>
      </c>
      <c r="G138" s="59">
        <v>1736</v>
      </c>
      <c r="H138" s="58">
        <v>3324</v>
      </c>
      <c r="I138" s="58">
        <v>1281</v>
      </c>
      <c r="J138" s="59">
        <v>1463</v>
      </c>
      <c r="K138" s="58">
        <v>2744</v>
      </c>
      <c r="L138" s="3">
        <v>9436</v>
      </c>
      <c r="M138" s="2">
        <f t="shared" si="23"/>
        <v>4426</v>
      </c>
      <c r="N138" s="3">
        <v>5010</v>
      </c>
      <c r="O138" s="16">
        <f t="shared" si="22"/>
        <v>46.905468418821535</v>
      </c>
      <c r="P138" s="14">
        <f t="shared" si="21"/>
        <v>53.094531581178458</v>
      </c>
      <c r="Q138" s="9" t="s">
        <v>75</v>
      </c>
      <c r="R138" s="19">
        <f t="shared" si="19"/>
        <v>1.1319475824672389</v>
      </c>
      <c r="S138" s="9">
        <f t="shared" si="20"/>
        <v>1.1000000000000001</v>
      </c>
    </row>
    <row r="139" spans="1:19" ht="15.5" x14ac:dyDescent="0.35">
      <c r="A139" s="27" t="s">
        <v>54</v>
      </c>
      <c r="B139" s="3">
        <v>18</v>
      </c>
      <c r="C139" s="58">
        <v>4027</v>
      </c>
      <c r="D139" s="59">
        <v>4436</v>
      </c>
      <c r="E139" s="59">
        <v>8463</v>
      </c>
      <c r="F139" s="58">
        <v>4315</v>
      </c>
      <c r="G139" s="59">
        <v>4557</v>
      </c>
      <c r="H139" s="58">
        <v>8872</v>
      </c>
      <c r="I139" s="58">
        <v>3808</v>
      </c>
      <c r="J139" s="59">
        <v>4283</v>
      </c>
      <c r="K139" s="58">
        <v>8091</v>
      </c>
      <c r="L139" s="3">
        <v>25426</v>
      </c>
      <c r="M139" s="2">
        <f t="shared" si="23"/>
        <v>12150</v>
      </c>
      <c r="N139" s="3">
        <v>13276</v>
      </c>
      <c r="O139" s="16">
        <f t="shared" si="22"/>
        <v>47.78573114135137</v>
      </c>
      <c r="P139" s="14">
        <f t="shared" si="21"/>
        <v>52.21426885864863</v>
      </c>
      <c r="Q139" s="9" t="s">
        <v>75</v>
      </c>
      <c r="R139" s="19">
        <f t="shared" si="19"/>
        <v>1.0926748971193416</v>
      </c>
      <c r="S139" s="9">
        <f t="shared" si="20"/>
        <v>1.1000000000000001</v>
      </c>
    </row>
    <row r="140" spans="1:19" ht="15.5" x14ac:dyDescent="0.35">
      <c r="A140" s="27" t="s">
        <v>5</v>
      </c>
      <c r="B140" s="4">
        <v>11</v>
      </c>
      <c r="C140" s="60">
        <v>1150</v>
      </c>
      <c r="D140" s="60">
        <v>706</v>
      </c>
      <c r="E140" s="60">
        <v>1856</v>
      </c>
      <c r="F140" s="60">
        <v>1034</v>
      </c>
      <c r="G140" s="60">
        <v>686</v>
      </c>
      <c r="H140" s="60">
        <v>1720</v>
      </c>
      <c r="I140" s="60">
        <v>725</v>
      </c>
      <c r="J140" s="60">
        <v>607</v>
      </c>
      <c r="K140" s="60">
        <v>1332</v>
      </c>
      <c r="L140" s="4">
        <v>4908</v>
      </c>
      <c r="M140" s="2">
        <f t="shared" si="23"/>
        <v>2909</v>
      </c>
      <c r="N140" s="4">
        <v>1999</v>
      </c>
      <c r="O140" s="16">
        <f t="shared" si="22"/>
        <v>59.270578647106767</v>
      </c>
      <c r="P140" s="14">
        <f t="shared" si="21"/>
        <v>40.729421352893233</v>
      </c>
      <c r="Q140" s="9" t="s">
        <v>76</v>
      </c>
      <c r="R140" s="19">
        <f>P140/O140</f>
        <v>0.68717772430388446</v>
      </c>
      <c r="S140" s="19">
        <v>0.7</v>
      </c>
    </row>
    <row r="141" spans="1:19" ht="15.5" x14ac:dyDescent="0.35">
      <c r="A141" s="27" t="s">
        <v>33</v>
      </c>
      <c r="B141" s="4">
        <v>14</v>
      </c>
      <c r="C141" s="60">
        <v>2228</v>
      </c>
      <c r="D141" s="60">
        <v>2631</v>
      </c>
      <c r="E141" s="60">
        <v>4859</v>
      </c>
      <c r="F141" s="60">
        <v>2552</v>
      </c>
      <c r="G141" s="60">
        <v>2815</v>
      </c>
      <c r="H141" s="60">
        <v>5367</v>
      </c>
      <c r="I141" s="60">
        <v>2245</v>
      </c>
      <c r="J141" s="60">
        <v>2439</v>
      </c>
      <c r="K141" s="60">
        <v>4684</v>
      </c>
      <c r="L141" s="4">
        <v>14910</v>
      </c>
      <c r="M141" s="2">
        <f t="shared" si="23"/>
        <v>7025</v>
      </c>
      <c r="N141" s="4">
        <v>7885</v>
      </c>
      <c r="O141" s="16">
        <f t="shared" si="22"/>
        <v>47.116029510395705</v>
      </c>
      <c r="P141" s="14">
        <f t="shared" si="21"/>
        <v>52.883970489604295</v>
      </c>
      <c r="Q141" s="9" t="s">
        <v>76</v>
      </c>
      <c r="R141" s="19">
        <f t="shared" ref="R141:R162" si="24">P141/O141</f>
        <v>1.1224199288256229</v>
      </c>
      <c r="S141" s="9">
        <v>1.1000000000000001</v>
      </c>
    </row>
    <row r="142" spans="1:19" ht="15.5" x14ac:dyDescent="0.35">
      <c r="A142" s="27" t="s">
        <v>34</v>
      </c>
      <c r="B142" s="4">
        <v>9</v>
      </c>
      <c r="C142" s="60">
        <v>1356</v>
      </c>
      <c r="D142" s="60">
        <v>1071</v>
      </c>
      <c r="E142" s="60">
        <v>2427</v>
      </c>
      <c r="F142" s="60">
        <v>1191</v>
      </c>
      <c r="G142" s="60">
        <v>1086</v>
      </c>
      <c r="H142" s="60">
        <v>2277</v>
      </c>
      <c r="I142" s="60">
        <v>1202</v>
      </c>
      <c r="J142" s="60">
        <v>887</v>
      </c>
      <c r="K142" s="60">
        <v>2089</v>
      </c>
      <c r="L142" s="4">
        <v>6793</v>
      </c>
      <c r="M142" s="2">
        <f t="shared" si="23"/>
        <v>3749</v>
      </c>
      <c r="N142" s="4">
        <v>3044</v>
      </c>
      <c r="O142" s="16">
        <f t="shared" si="22"/>
        <v>55.189165317238334</v>
      </c>
      <c r="P142" s="14">
        <f t="shared" si="21"/>
        <v>44.810834682761666</v>
      </c>
      <c r="Q142" s="9" t="s">
        <v>76</v>
      </c>
      <c r="R142" s="19">
        <f t="shared" si="24"/>
        <v>0.81194985329421177</v>
      </c>
      <c r="S142" s="9">
        <v>0.8</v>
      </c>
    </row>
    <row r="143" spans="1:19" ht="15.5" x14ac:dyDescent="0.35">
      <c r="A143" s="27" t="s">
        <v>35</v>
      </c>
      <c r="B143" s="4">
        <v>12</v>
      </c>
      <c r="C143" s="60">
        <v>2410</v>
      </c>
      <c r="D143" s="60">
        <v>1539</v>
      </c>
      <c r="E143" s="60">
        <v>3949</v>
      </c>
      <c r="F143" s="60">
        <v>2589</v>
      </c>
      <c r="G143" s="60">
        <v>1731</v>
      </c>
      <c r="H143" s="60">
        <v>4320</v>
      </c>
      <c r="I143" s="60">
        <v>2052</v>
      </c>
      <c r="J143" s="60">
        <v>1528</v>
      </c>
      <c r="K143" s="60">
        <v>3580</v>
      </c>
      <c r="L143" s="4">
        <v>11849</v>
      </c>
      <c r="M143" s="2">
        <f t="shared" si="23"/>
        <v>7051</v>
      </c>
      <c r="N143" s="4">
        <v>4798</v>
      </c>
      <c r="O143" s="16">
        <f t="shared" si="22"/>
        <v>59.507131403493965</v>
      </c>
      <c r="P143" s="14">
        <f t="shared" si="21"/>
        <v>40.492868596506035</v>
      </c>
      <c r="Q143" s="9" t="s">
        <v>76</v>
      </c>
      <c r="R143" s="19">
        <f t="shared" si="24"/>
        <v>0.68047085519784434</v>
      </c>
      <c r="S143" s="9">
        <v>0.7</v>
      </c>
    </row>
    <row r="144" spans="1:19" ht="15.5" x14ac:dyDescent="0.35">
      <c r="A144" s="27" t="s">
        <v>36</v>
      </c>
      <c r="B144" s="4">
        <v>14</v>
      </c>
      <c r="C144" s="60">
        <v>1682</v>
      </c>
      <c r="D144" s="60">
        <v>1039</v>
      </c>
      <c r="E144" s="60">
        <v>2721</v>
      </c>
      <c r="F144" s="60">
        <v>1479</v>
      </c>
      <c r="G144" s="60">
        <v>959</v>
      </c>
      <c r="H144" s="60">
        <v>2438</v>
      </c>
      <c r="I144" s="60">
        <v>1591</v>
      </c>
      <c r="J144" s="60">
        <v>832</v>
      </c>
      <c r="K144" s="60">
        <v>2423</v>
      </c>
      <c r="L144" s="4">
        <v>7582</v>
      </c>
      <c r="M144" s="2">
        <f t="shared" si="23"/>
        <v>4752</v>
      </c>
      <c r="N144" s="4">
        <v>2830</v>
      </c>
      <c r="O144" s="16">
        <f t="shared" si="22"/>
        <v>62.67475600105513</v>
      </c>
      <c r="P144" s="14">
        <f t="shared" si="21"/>
        <v>37.32524399894487</v>
      </c>
      <c r="Q144" s="9" t="s">
        <v>76</v>
      </c>
      <c r="R144" s="19">
        <f t="shared" si="24"/>
        <v>0.59553872053872059</v>
      </c>
      <c r="S144" s="9">
        <v>0.6</v>
      </c>
    </row>
    <row r="145" spans="1:19" ht="15.5" x14ac:dyDescent="0.35">
      <c r="A145" s="27" t="s">
        <v>37</v>
      </c>
      <c r="B145" s="4">
        <v>15</v>
      </c>
      <c r="C145" s="60">
        <v>603</v>
      </c>
      <c r="D145" s="60">
        <v>1061</v>
      </c>
      <c r="E145" s="60">
        <v>1664</v>
      </c>
      <c r="F145" s="60">
        <v>555</v>
      </c>
      <c r="G145" s="60">
        <v>883</v>
      </c>
      <c r="H145" s="60">
        <v>1438</v>
      </c>
      <c r="I145" s="60">
        <v>666</v>
      </c>
      <c r="J145" s="60">
        <v>915</v>
      </c>
      <c r="K145" s="60">
        <v>1581</v>
      </c>
      <c r="L145" s="4">
        <v>4683</v>
      </c>
      <c r="M145" s="2">
        <f t="shared" si="23"/>
        <v>1824</v>
      </c>
      <c r="N145" s="4">
        <v>2859</v>
      </c>
      <c r="O145" s="16">
        <f t="shared" si="22"/>
        <v>38.949391415759123</v>
      </c>
      <c r="P145" s="14">
        <f t="shared" si="21"/>
        <v>61.050608584240877</v>
      </c>
      <c r="Q145" s="9" t="s">
        <v>76</v>
      </c>
      <c r="R145" s="19">
        <f t="shared" si="24"/>
        <v>1.5674342105263162</v>
      </c>
      <c r="S145" s="9">
        <v>1.6</v>
      </c>
    </row>
    <row r="146" spans="1:19" ht="15.5" x14ac:dyDescent="0.35">
      <c r="A146" s="27" t="s">
        <v>38</v>
      </c>
      <c r="B146" s="4">
        <v>23</v>
      </c>
      <c r="C146" s="60">
        <v>1773</v>
      </c>
      <c r="D146" s="60">
        <v>1479</v>
      </c>
      <c r="E146" s="60">
        <v>3252</v>
      </c>
      <c r="F146" s="60">
        <v>1543</v>
      </c>
      <c r="G146" s="60">
        <v>1452</v>
      </c>
      <c r="H146" s="60">
        <v>2995</v>
      </c>
      <c r="I146" s="60">
        <v>1558</v>
      </c>
      <c r="J146" s="60">
        <v>1621</v>
      </c>
      <c r="K146" s="60">
        <v>3179</v>
      </c>
      <c r="L146" s="4">
        <v>9426</v>
      </c>
      <c r="M146" s="2">
        <f t="shared" si="23"/>
        <v>4874</v>
      </c>
      <c r="N146" s="4">
        <v>4552</v>
      </c>
      <c r="O146" s="16">
        <f t="shared" si="22"/>
        <v>51.708041587099508</v>
      </c>
      <c r="P146" s="14">
        <f t="shared" si="21"/>
        <v>48.291958412900485</v>
      </c>
      <c r="Q146" s="9" t="s">
        <v>76</v>
      </c>
      <c r="R146" s="19">
        <f t="shared" si="24"/>
        <v>0.93393516618793604</v>
      </c>
      <c r="S146" s="9">
        <v>0.9</v>
      </c>
    </row>
    <row r="147" spans="1:19" ht="15.5" x14ac:dyDescent="0.35">
      <c r="A147" s="27" t="s">
        <v>39</v>
      </c>
      <c r="B147" s="4">
        <v>23</v>
      </c>
      <c r="C147" s="60">
        <v>1392</v>
      </c>
      <c r="D147" s="60">
        <v>1335</v>
      </c>
      <c r="E147" s="60">
        <v>2727</v>
      </c>
      <c r="F147" s="60">
        <v>1241</v>
      </c>
      <c r="G147" s="60">
        <v>1102</v>
      </c>
      <c r="H147" s="60">
        <v>2343</v>
      </c>
      <c r="I147" s="60">
        <v>1113</v>
      </c>
      <c r="J147" s="60">
        <v>948</v>
      </c>
      <c r="K147" s="60">
        <v>2061</v>
      </c>
      <c r="L147" s="4">
        <v>7131</v>
      </c>
      <c r="M147" s="2">
        <f t="shared" si="23"/>
        <v>3746</v>
      </c>
      <c r="N147" s="4">
        <v>3385</v>
      </c>
      <c r="O147" s="16">
        <f t="shared" si="22"/>
        <v>52.531201794979665</v>
      </c>
      <c r="P147" s="14">
        <f t="shared" si="21"/>
        <v>47.468798205020335</v>
      </c>
      <c r="Q147" s="9" t="s">
        <v>76</v>
      </c>
      <c r="R147" s="19">
        <f t="shared" si="24"/>
        <v>0.90363053924185799</v>
      </c>
      <c r="S147" s="9">
        <v>0.9</v>
      </c>
    </row>
    <row r="148" spans="1:19" ht="15.5" x14ac:dyDescent="0.35">
      <c r="A148" s="27" t="s">
        <v>40</v>
      </c>
      <c r="B148" s="4">
        <v>17</v>
      </c>
      <c r="C148" s="60">
        <v>2898</v>
      </c>
      <c r="D148" s="60">
        <v>4422</v>
      </c>
      <c r="E148" s="60">
        <v>7320</v>
      </c>
      <c r="F148" s="60">
        <v>3122</v>
      </c>
      <c r="G148" s="60">
        <v>4413</v>
      </c>
      <c r="H148" s="60">
        <v>7535</v>
      </c>
      <c r="I148" s="60">
        <v>2928</v>
      </c>
      <c r="J148" s="60">
        <v>3823</v>
      </c>
      <c r="K148" s="60">
        <v>6751</v>
      </c>
      <c r="L148" s="4">
        <v>21606</v>
      </c>
      <c r="M148" s="2">
        <f t="shared" si="23"/>
        <v>8948</v>
      </c>
      <c r="N148" s="4">
        <v>12658</v>
      </c>
      <c r="O148" s="16">
        <f t="shared" si="22"/>
        <v>41.414421919837082</v>
      </c>
      <c r="P148" s="14">
        <f t="shared" si="21"/>
        <v>58.585578080162918</v>
      </c>
      <c r="Q148" s="9" t="s">
        <v>76</v>
      </c>
      <c r="R148" s="19">
        <f t="shared" si="24"/>
        <v>1.4146177916852929</v>
      </c>
      <c r="S148" s="9">
        <v>1.4</v>
      </c>
    </row>
    <row r="149" spans="1:19" ht="15.5" x14ac:dyDescent="0.35">
      <c r="A149" s="27" t="s">
        <v>41</v>
      </c>
      <c r="B149" s="4">
        <v>13</v>
      </c>
      <c r="C149" s="60">
        <v>663</v>
      </c>
      <c r="D149" s="60">
        <v>2918</v>
      </c>
      <c r="E149" s="60">
        <v>3581</v>
      </c>
      <c r="F149" s="60">
        <v>1560</v>
      </c>
      <c r="G149" s="60">
        <v>4044</v>
      </c>
      <c r="H149" s="60">
        <v>5604</v>
      </c>
      <c r="I149" s="60">
        <v>1411</v>
      </c>
      <c r="J149" s="60">
        <v>3396</v>
      </c>
      <c r="K149" s="60">
        <v>4807</v>
      </c>
      <c r="L149" s="4">
        <v>13992</v>
      </c>
      <c r="M149" s="2">
        <f t="shared" si="23"/>
        <v>3634</v>
      </c>
      <c r="N149" s="4">
        <v>10358</v>
      </c>
      <c r="O149" s="16">
        <f t="shared" si="22"/>
        <v>25.971983990851914</v>
      </c>
      <c r="P149" s="14">
        <f t="shared" si="21"/>
        <v>74.028016009148089</v>
      </c>
      <c r="Q149" s="9" t="s">
        <v>76</v>
      </c>
      <c r="R149" s="19">
        <f t="shared" si="24"/>
        <v>2.8503026967528897</v>
      </c>
      <c r="S149" s="9">
        <v>2.6</v>
      </c>
    </row>
    <row r="150" spans="1:19" ht="15.5" x14ac:dyDescent="0.35">
      <c r="A150" s="27" t="s">
        <v>42</v>
      </c>
      <c r="B150" s="4">
        <v>20</v>
      </c>
      <c r="C150" s="60">
        <v>1523</v>
      </c>
      <c r="D150" s="60">
        <v>1494</v>
      </c>
      <c r="E150" s="60">
        <v>3017</v>
      </c>
      <c r="F150" s="60">
        <v>1548</v>
      </c>
      <c r="G150" s="60">
        <v>1490</v>
      </c>
      <c r="H150" s="60">
        <v>3038</v>
      </c>
      <c r="I150" s="60">
        <v>1422</v>
      </c>
      <c r="J150" s="60">
        <v>1504</v>
      </c>
      <c r="K150" s="60">
        <v>2926</v>
      </c>
      <c r="L150" s="4">
        <v>8981</v>
      </c>
      <c r="M150" s="2">
        <f t="shared" si="23"/>
        <v>4493</v>
      </c>
      <c r="N150" s="4">
        <v>4488</v>
      </c>
      <c r="O150" s="16">
        <f t="shared" si="22"/>
        <v>50.027836543814722</v>
      </c>
      <c r="P150" s="14">
        <f t="shared" si="21"/>
        <v>49.972163456185278</v>
      </c>
      <c r="Q150" s="9" t="s">
        <v>76</v>
      </c>
      <c r="R150" s="19">
        <f t="shared" si="24"/>
        <v>0.99888715780102377</v>
      </c>
      <c r="S150" s="9">
        <v>1</v>
      </c>
    </row>
    <row r="151" spans="1:19" ht="15.5" x14ac:dyDescent="0.35">
      <c r="A151" s="27" t="s">
        <v>43</v>
      </c>
      <c r="B151" s="4">
        <v>12</v>
      </c>
      <c r="C151" s="60">
        <v>927</v>
      </c>
      <c r="D151" s="60">
        <v>706</v>
      </c>
      <c r="E151" s="60">
        <v>1633</v>
      </c>
      <c r="F151" s="60">
        <v>760</v>
      </c>
      <c r="G151" s="60">
        <v>558</v>
      </c>
      <c r="H151" s="60">
        <v>1318</v>
      </c>
      <c r="I151" s="60">
        <v>626</v>
      </c>
      <c r="J151" s="60">
        <v>512</v>
      </c>
      <c r="K151" s="60">
        <v>1138</v>
      </c>
      <c r="L151" s="4">
        <v>4089</v>
      </c>
      <c r="M151" s="2">
        <f t="shared" si="23"/>
        <v>2313</v>
      </c>
      <c r="N151" s="4">
        <v>1776</v>
      </c>
      <c r="O151" s="16">
        <f t="shared" si="22"/>
        <v>56.566397652237711</v>
      </c>
      <c r="P151" s="14">
        <f t="shared" si="21"/>
        <v>43.433602347762289</v>
      </c>
      <c r="Q151" s="9" t="s">
        <v>76</v>
      </c>
      <c r="R151" s="19">
        <f t="shared" si="24"/>
        <v>0.76783398184176388</v>
      </c>
      <c r="S151" s="9">
        <v>0.8</v>
      </c>
    </row>
    <row r="152" spans="1:19" ht="15.5" x14ac:dyDescent="0.35">
      <c r="A152" s="27" t="s">
        <v>44</v>
      </c>
      <c r="B152" s="4">
        <v>13</v>
      </c>
      <c r="C152" s="60">
        <v>1205</v>
      </c>
      <c r="D152" s="60">
        <v>860</v>
      </c>
      <c r="E152" s="60">
        <v>2065</v>
      </c>
      <c r="F152" s="60">
        <v>1147</v>
      </c>
      <c r="G152" s="60">
        <v>909</v>
      </c>
      <c r="H152" s="60">
        <v>2056</v>
      </c>
      <c r="I152" s="60">
        <v>1225</v>
      </c>
      <c r="J152" s="60">
        <v>943</v>
      </c>
      <c r="K152" s="60">
        <v>2168</v>
      </c>
      <c r="L152" s="4">
        <v>6289</v>
      </c>
      <c r="M152" s="2">
        <f t="shared" si="23"/>
        <v>3577</v>
      </c>
      <c r="N152" s="4">
        <v>2712</v>
      </c>
      <c r="O152" s="16">
        <f t="shared" si="22"/>
        <v>56.877086977261882</v>
      </c>
      <c r="P152" s="14">
        <f t="shared" si="21"/>
        <v>43.122913022738111</v>
      </c>
      <c r="Q152" s="9" t="s">
        <v>76</v>
      </c>
      <c r="R152" s="19">
        <f t="shared" si="24"/>
        <v>0.75817724350013982</v>
      </c>
      <c r="S152" s="9">
        <v>0.8</v>
      </c>
    </row>
    <row r="153" spans="1:19" ht="15.5" x14ac:dyDescent="0.35">
      <c r="A153" s="27" t="s">
        <v>45</v>
      </c>
      <c r="B153" s="4">
        <v>17</v>
      </c>
      <c r="C153" s="60">
        <v>1190</v>
      </c>
      <c r="D153" s="60">
        <v>719</v>
      </c>
      <c r="E153" s="60">
        <v>1909</v>
      </c>
      <c r="F153" s="60">
        <v>1026</v>
      </c>
      <c r="G153" s="60">
        <v>540</v>
      </c>
      <c r="H153" s="60">
        <v>1566</v>
      </c>
      <c r="I153" s="60">
        <v>927</v>
      </c>
      <c r="J153" s="60">
        <v>520</v>
      </c>
      <c r="K153" s="60">
        <v>1447</v>
      </c>
      <c r="L153" s="4">
        <v>4922</v>
      </c>
      <c r="M153" s="2">
        <f t="shared" si="23"/>
        <v>3143</v>
      </c>
      <c r="N153" s="4">
        <v>1779</v>
      </c>
      <c r="O153" s="16">
        <f t="shared" si="22"/>
        <v>63.856156034132475</v>
      </c>
      <c r="P153" s="14">
        <f t="shared" si="21"/>
        <v>36.143843965867532</v>
      </c>
      <c r="Q153" s="9" t="s">
        <v>76</v>
      </c>
      <c r="R153" s="19">
        <f t="shared" si="24"/>
        <v>0.56601972637607367</v>
      </c>
      <c r="S153" s="9">
        <v>0.6</v>
      </c>
    </row>
    <row r="154" spans="1:19" ht="15.5" x14ac:dyDescent="0.35">
      <c r="A154" s="27" t="s">
        <v>46</v>
      </c>
      <c r="B154" s="4">
        <v>15</v>
      </c>
      <c r="C154" s="60">
        <v>1249</v>
      </c>
      <c r="D154" s="60">
        <v>1130</v>
      </c>
      <c r="E154" s="60">
        <v>2379</v>
      </c>
      <c r="F154" s="60">
        <v>1365</v>
      </c>
      <c r="G154" s="60">
        <v>865</v>
      </c>
      <c r="H154" s="60">
        <v>2230</v>
      </c>
      <c r="I154" s="60">
        <v>1198</v>
      </c>
      <c r="J154" s="60">
        <v>920</v>
      </c>
      <c r="K154" s="60">
        <v>2118</v>
      </c>
      <c r="L154" s="4">
        <v>6727</v>
      </c>
      <c r="M154" s="2">
        <f t="shared" si="23"/>
        <v>3812</v>
      </c>
      <c r="N154" s="4">
        <v>2915</v>
      </c>
      <c r="O154" s="16">
        <f t="shared" si="22"/>
        <v>56.667162182250628</v>
      </c>
      <c r="P154" s="14">
        <f t="shared" si="21"/>
        <v>43.332837817749372</v>
      </c>
      <c r="Q154" s="9" t="s">
        <v>76</v>
      </c>
      <c r="R154" s="19">
        <f t="shared" si="24"/>
        <v>0.76469045120671575</v>
      </c>
      <c r="S154" s="9">
        <v>0.8</v>
      </c>
    </row>
    <row r="155" spans="1:19" ht="15.5" x14ac:dyDescent="0.35">
      <c r="A155" s="27" t="s">
        <v>47</v>
      </c>
      <c r="B155" s="4">
        <v>5</v>
      </c>
      <c r="C155" s="60">
        <v>819</v>
      </c>
      <c r="D155" s="60">
        <v>525</v>
      </c>
      <c r="E155" s="60">
        <v>1344</v>
      </c>
      <c r="F155" s="60">
        <v>728</v>
      </c>
      <c r="G155" s="60">
        <v>449</v>
      </c>
      <c r="H155" s="60">
        <v>1177</v>
      </c>
      <c r="I155" s="60">
        <v>576</v>
      </c>
      <c r="J155" s="60">
        <v>381</v>
      </c>
      <c r="K155" s="60">
        <v>957</v>
      </c>
      <c r="L155" s="4">
        <v>3478</v>
      </c>
      <c r="M155" s="2">
        <f t="shared" si="23"/>
        <v>2123</v>
      </c>
      <c r="N155" s="4">
        <v>1355</v>
      </c>
      <c r="O155" s="16">
        <f t="shared" si="22"/>
        <v>61.040828062104659</v>
      </c>
      <c r="P155" s="14">
        <f t="shared" si="21"/>
        <v>38.959171937895341</v>
      </c>
      <c r="Q155" s="9" t="s">
        <v>76</v>
      </c>
      <c r="R155" s="19">
        <f t="shared" si="24"/>
        <v>0.63824776260009419</v>
      </c>
      <c r="S155" s="9">
        <v>0.6</v>
      </c>
    </row>
    <row r="156" spans="1:19" ht="15.5" x14ac:dyDescent="0.35">
      <c r="A156" s="27" t="s">
        <v>48</v>
      </c>
      <c r="B156" s="4">
        <v>18</v>
      </c>
      <c r="C156" s="60">
        <v>2145</v>
      </c>
      <c r="D156" s="60">
        <v>1659</v>
      </c>
      <c r="E156" s="60">
        <v>3804</v>
      </c>
      <c r="F156" s="60">
        <v>2104</v>
      </c>
      <c r="G156" s="60">
        <v>1442</v>
      </c>
      <c r="H156" s="60">
        <v>3546</v>
      </c>
      <c r="I156" s="60">
        <v>2170</v>
      </c>
      <c r="J156" s="60">
        <v>1618</v>
      </c>
      <c r="K156" s="60">
        <v>3788</v>
      </c>
      <c r="L156" s="4">
        <v>11138</v>
      </c>
      <c r="M156" s="2">
        <f t="shared" si="23"/>
        <v>6419</v>
      </c>
      <c r="N156" s="4">
        <v>4719</v>
      </c>
      <c r="O156" s="16">
        <f t="shared" si="22"/>
        <v>57.631531693302207</v>
      </c>
      <c r="P156" s="14">
        <f t="shared" si="21"/>
        <v>42.368468306697793</v>
      </c>
      <c r="Q156" s="9" t="s">
        <v>76</v>
      </c>
      <c r="R156" s="19">
        <f t="shared" si="24"/>
        <v>0.73516124006854655</v>
      </c>
      <c r="S156" s="9">
        <v>0.7</v>
      </c>
    </row>
    <row r="157" spans="1:19" ht="15.5" x14ac:dyDescent="0.35">
      <c r="A157" s="27" t="s">
        <v>49</v>
      </c>
      <c r="B157" s="4">
        <v>12</v>
      </c>
      <c r="C157" s="60">
        <v>1420</v>
      </c>
      <c r="D157" s="60">
        <v>1034</v>
      </c>
      <c r="E157" s="60">
        <v>2454</v>
      </c>
      <c r="F157" s="60">
        <v>1270</v>
      </c>
      <c r="G157" s="60">
        <v>817</v>
      </c>
      <c r="H157" s="60">
        <v>2087</v>
      </c>
      <c r="I157" s="60">
        <v>1384</v>
      </c>
      <c r="J157" s="60">
        <v>648</v>
      </c>
      <c r="K157" s="60">
        <v>2032</v>
      </c>
      <c r="L157" s="4">
        <v>6573</v>
      </c>
      <c r="M157" s="2">
        <f t="shared" si="23"/>
        <v>4074</v>
      </c>
      <c r="N157" s="4">
        <v>2499</v>
      </c>
      <c r="O157" s="16">
        <f t="shared" si="22"/>
        <v>61.980830670926515</v>
      </c>
      <c r="P157" s="14">
        <f t="shared" si="21"/>
        <v>38.019169329073485</v>
      </c>
      <c r="Q157" s="9" t="s">
        <v>76</v>
      </c>
      <c r="R157" s="19">
        <f t="shared" si="24"/>
        <v>0.61340206185567014</v>
      </c>
      <c r="S157" s="9">
        <v>0.6</v>
      </c>
    </row>
    <row r="158" spans="1:19" ht="15.5" x14ac:dyDescent="0.35">
      <c r="A158" s="27" t="s">
        <v>50</v>
      </c>
      <c r="B158" s="4">
        <v>12</v>
      </c>
      <c r="C158" s="60">
        <v>2352</v>
      </c>
      <c r="D158" s="60">
        <v>3823</v>
      </c>
      <c r="E158" s="60">
        <v>6175</v>
      </c>
      <c r="F158" s="60">
        <v>2208</v>
      </c>
      <c r="G158" s="60">
        <v>3518</v>
      </c>
      <c r="H158" s="60">
        <v>5726</v>
      </c>
      <c r="I158" s="60">
        <v>2266</v>
      </c>
      <c r="J158" s="60">
        <v>3367</v>
      </c>
      <c r="K158" s="60">
        <v>5633</v>
      </c>
      <c r="L158" s="4">
        <v>17534</v>
      </c>
      <c r="M158" s="2">
        <f t="shared" si="23"/>
        <v>6826</v>
      </c>
      <c r="N158" s="4">
        <v>10708</v>
      </c>
      <c r="O158" s="16">
        <f t="shared" si="22"/>
        <v>38.930078704231782</v>
      </c>
      <c r="P158" s="14">
        <f t="shared" si="21"/>
        <v>61.069921295768225</v>
      </c>
      <c r="Q158" s="9" t="s">
        <v>76</v>
      </c>
      <c r="R158" s="19">
        <f t="shared" si="24"/>
        <v>1.5687078816290652</v>
      </c>
      <c r="S158" s="9">
        <v>1.6</v>
      </c>
    </row>
    <row r="159" spans="1:19" ht="15.5" x14ac:dyDescent="0.35">
      <c r="A159" s="27" t="s">
        <v>51</v>
      </c>
      <c r="B159" s="4">
        <v>13</v>
      </c>
      <c r="C159" s="60">
        <v>723</v>
      </c>
      <c r="D159" s="60">
        <v>687</v>
      </c>
      <c r="E159" s="60">
        <v>1410</v>
      </c>
      <c r="F159" s="60">
        <v>627</v>
      </c>
      <c r="G159" s="60">
        <v>599</v>
      </c>
      <c r="H159" s="60">
        <v>1226</v>
      </c>
      <c r="I159" s="60">
        <v>779</v>
      </c>
      <c r="J159" s="60">
        <v>678</v>
      </c>
      <c r="K159" s="60">
        <v>1457</v>
      </c>
      <c r="L159" s="4">
        <v>4093</v>
      </c>
      <c r="M159" s="2">
        <f t="shared" si="23"/>
        <v>2129</v>
      </c>
      <c r="N159" s="4">
        <v>1964</v>
      </c>
      <c r="O159" s="16">
        <f t="shared" si="22"/>
        <v>52.015636452479839</v>
      </c>
      <c r="P159" s="14">
        <f t="shared" si="21"/>
        <v>47.984363547520161</v>
      </c>
      <c r="Q159" s="9" t="s">
        <v>76</v>
      </c>
      <c r="R159" s="19">
        <f t="shared" si="24"/>
        <v>0.92249882573978415</v>
      </c>
      <c r="S159" s="9">
        <v>0.9</v>
      </c>
    </row>
    <row r="160" spans="1:19" ht="15.5" x14ac:dyDescent="0.35">
      <c r="A160" s="27" t="s">
        <v>52</v>
      </c>
      <c r="B160" s="4">
        <v>11</v>
      </c>
      <c r="C160" s="60">
        <v>1009</v>
      </c>
      <c r="D160" s="60">
        <v>375</v>
      </c>
      <c r="E160" s="60">
        <v>1384</v>
      </c>
      <c r="F160" s="60">
        <v>904</v>
      </c>
      <c r="G160" s="60">
        <v>266</v>
      </c>
      <c r="H160" s="60">
        <v>1170</v>
      </c>
      <c r="I160" s="60">
        <v>1048</v>
      </c>
      <c r="J160" s="60">
        <v>305</v>
      </c>
      <c r="K160" s="60">
        <v>1353</v>
      </c>
      <c r="L160" s="4">
        <v>3907</v>
      </c>
      <c r="M160" s="2">
        <f t="shared" si="23"/>
        <v>2961</v>
      </c>
      <c r="N160" s="4">
        <v>946</v>
      </c>
      <c r="O160" s="16">
        <f t="shared" si="22"/>
        <v>75.787048886613775</v>
      </c>
      <c r="P160" s="14">
        <f t="shared" si="21"/>
        <v>24.212951113386229</v>
      </c>
      <c r="Q160" s="9" t="s">
        <v>76</v>
      </c>
      <c r="R160" s="19">
        <f t="shared" si="24"/>
        <v>0.31948665991219177</v>
      </c>
      <c r="S160" s="9">
        <v>0.3</v>
      </c>
    </row>
    <row r="161" spans="1:19" ht="15.5" x14ac:dyDescent="0.35">
      <c r="A161" s="27" t="s">
        <v>53</v>
      </c>
      <c r="B161" s="4">
        <v>41</v>
      </c>
      <c r="C161" s="60">
        <v>1728</v>
      </c>
      <c r="D161" s="60">
        <v>1862</v>
      </c>
      <c r="E161" s="60">
        <v>3590</v>
      </c>
      <c r="F161" s="60">
        <v>1675</v>
      </c>
      <c r="G161" s="60">
        <v>1820</v>
      </c>
      <c r="H161" s="60">
        <v>3495</v>
      </c>
      <c r="I161" s="60">
        <v>1572</v>
      </c>
      <c r="J161" s="60">
        <v>1819</v>
      </c>
      <c r="K161" s="60">
        <v>3391</v>
      </c>
      <c r="L161" s="4">
        <v>10476</v>
      </c>
      <c r="M161" s="2">
        <f t="shared" si="23"/>
        <v>4975</v>
      </c>
      <c r="N161" s="4">
        <v>5501</v>
      </c>
      <c r="O161" s="16">
        <f t="shared" si="22"/>
        <v>47.489499809087441</v>
      </c>
      <c r="P161" s="14">
        <f t="shared" si="21"/>
        <v>52.510500190912559</v>
      </c>
      <c r="Q161" s="9" t="s">
        <v>76</v>
      </c>
      <c r="R161" s="19">
        <f t="shared" si="24"/>
        <v>1.1057286432160802</v>
      </c>
      <c r="S161" s="9">
        <v>1.1000000000000001</v>
      </c>
    </row>
    <row r="162" spans="1:19" ht="15.5" x14ac:dyDescent="0.35">
      <c r="A162" s="27" t="s">
        <v>54</v>
      </c>
      <c r="B162" s="4">
        <v>18</v>
      </c>
      <c r="C162" s="60">
        <v>4432</v>
      </c>
      <c r="D162" s="60">
        <v>6767</v>
      </c>
      <c r="E162" s="60">
        <v>11199</v>
      </c>
      <c r="F162" s="60">
        <v>4410</v>
      </c>
      <c r="G162" s="60">
        <v>4321</v>
      </c>
      <c r="H162" s="60">
        <v>8731</v>
      </c>
      <c r="I162" s="60">
        <v>4395</v>
      </c>
      <c r="J162" s="60">
        <v>4631</v>
      </c>
      <c r="K162" s="60">
        <v>9026</v>
      </c>
      <c r="L162" s="4">
        <v>28956</v>
      </c>
      <c r="M162" s="2">
        <f t="shared" si="23"/>
        <v>13237</v>
      </c>
      <c r="N162" s="4">
        <v>15719</v>
      </c>
      <c r="O162" s="16">
        <f t="shared" si="22"/>
        <v>45.714187042409172</v>
      </c>
      <c r="P162" s="14">
        <f t="shared" si="21"/>
        <v>54.285812957590828</v>
      </c>
      <c r="Q162" s="9" t="s">
        <v>76</v>
      </c>
      <c r="R162" s="19">
        <f t="shared" si="24"/>
        <v>1.1875047216136587</v>
      </c>
      <c r="S162" s="9">
        <v>1.2</v>
      </c>
    </row>
    <row r="163" spans="1:19" ht="15.5" x14ac:dyDescent="0.35">
      <c r="A163" s="27" t="s">
        <v>5</v>
      </c>
      <c r="B163" s="7">
        <v>9</v>
      </c>
      <c r="C163" s="7">
        <v>981</v>
      </c>
      <c r="D163" s="7">
        <v>687</v>
      </c>
      <c r="E163" s="7">
        <v>1668</v>
      </c>
      <c r="F163" s="7">
        <v>1012</v>
      </c>
      <c r="G163" s="7">
        <v>668</v>
      </c>
      <c r="H163" s="7">
        <f>F163+G163</f>
        <v>1680</v>
      </c>
      <c r="I163" s="7">
        <v>684</v>
      </c>
      <c r="J163" s="7">
        <v>605</v>
      </c>
      <c r="K163" s="7">
        <f>I163+J163</f>
        <v>1289</v>
      </c>
      <c r="L163" s="8">
        <v>4637</v>
      </c>
      <c r="M163" s="2">
        <f t="shared" si="23"/>
        <v>2677</v>
      </c>
      <c r="N163" s="8">
        <v>1960</v>
      </c>
      <c r="O163" s="16">
        <f t="shared" si="22"/>
        <v>57.7312917834807</v>
      </c>
      <c r="P163" s="14">
        <f t="shared" si="21"/>
        <v>42.2687082165193</v>
      </c>
      <c r="Q163" s="9" t="s">
        <v>77</v>
      </c>
      <c r="R163" s="19">
        <f t="shared" ref="R163:R208" si="25">P163/O163</f>
        <v>0.73216286888307802</v>
      </c>
      <c r="S163" s="9">
        <f t="shared" ref="S163:S185" si="26">ROUND(R163, 1)</f>
        <v>0.7</v>
      </c>
    </row>
    <row r="164" spans="1:19" ht="15.5" x14ac:dyDescent="0.35">
      <c r="A164" s="27" t="s">
        <v>33</v>
      </c>
      <c r="B164" s="7">
        <v>14</v>
      </c>
      <c r="C164" s="10">
        <v>1801</v>
      </c>
      <c r="D164" s="7">
        <v>2026</v>
      </c>
      <c r="E164" s="7">
        <v>3827</v>
      </c>
      <c r="F164" s="7">
        <v>2087</v>
      </c>
      <c r="G164" s="7">
        <v>1910</v>
      </c>
      <c r="H164" s="7">
        <f t="shared" ref="H164:H185" si="27">F164+G164</f>
        <v>3997</v>
      </c>
      <c r="I164" s="7">
        <v>1528</v>
      </c>
      <c r="J164" s="7">
        <v>1347</v>
      </c>
      <c r="K164" s="7">
        <f t="shared" ref="K164:K185" si="28">I164+J164</f>
        <v>2875</v>
      </c>
      <c r="L164" s="8">
        <v>10699</v>
      </c>
      <c r="M164" s="2">
        <f t="shared" si="23"/>
        <v>5416</v>
      </c>
      <c r="N164" s="8">
        <v>5283</v>
      </c>
      <c r="O164" s="16">
        <f t="shared" si="22"/>
        <v>50.621553416207121</v>
      </c>
      <c r="P164" s="14">
        <f t="shared" si="21"/>
        <v>49.378446583792879</v>
      </c>
      <c r="Q164" s="9" t="s">
        <v>77</v>
      </c>
      <c r="R164" s="19">
        <f t="shared" si="25"/>
        <v>0.97544313146233386</v>
      </c>
      <c r="S164" s="9">
        <f t="shared" si="26"/>
        <v>1</v>
      </c>
    </row>
    <row r="165" spans="1:19" ht="15.5" x14ac:dyDescent="0.35">
      <c r="A165" s="27" t="s">
        <v>34</v>
      </c>
      <c r="B165" s="7">
        <v>10</v>
      </c>
      <c r="C165" s="10">
        <v>1415</v>
      </c>
      <c r="D165" s="7">
        <v>937</v>
      </c>
      <c r="E165" s="7">
        <v>2352</v>
      </c>
      <c r="F165" s="7">
        <v>1322</v>
      </c>
      <c r="G165" s="7">
        <v>968</v>
      </c>
      <c r="H165" s="7">
        <f t="shared" si="27"/>
        <v>2290</v>
      </c>
      <c r="I165" s="7">
        <v>930</v>
      </c>
      <c r="J165" s="7">
        <v>693</v>
      </c>
      <c r="K165" s="7">
        <f t="shared" si="28"/>
        <v>1623</v>
      </c>
      <c r="L165" s="8">
        <v>6265</v>
      </c>
      <c r="M165" s="2">
        <f t="shared" si="23"/>
        <v>3667</v>
      </c>
      <c r="N165" s="8">
        <v>2598</v>
      </c>
      <c r="O165" s="16">
        <f t="shared" si="22"/>
        <v>58.531524341580209</v>
      </c>
      <c r="P165" s="14">
        <f t="shared" si="21"/>
        <v>41.468475658419791</v>
      </c>
      <c r="Q165" s="9" t="s">
        <v>77</v>
      </c>
      <c r="R165" s="19">
        <f t="shared" si="25"/>
        <v>0.70848104717752924</v>
      </c>
      <c r="S165" s="9">
        <f t="shared" si="26"/>
        <v>0.7</v>
      </c>
    </row>
    <row r="166" spans="1:19" ht="15.5" x14ac:dyDescent="0.35">
      <c r="A166" s="27" t="s">
        <v>35</v>
      </c>
      <c r="B166" s="7">
        <v>14</v>
      </c>
      <c r="C166" s="10">
        <v>3068</v>
      </c>
      <c r="D166" s="7">
        <v>2878</v>
      </c>
      <c r="E166" s="7">
        <v>5946</v>
      </c>
      <c r="F166" s="7">
        <v>3298</v>
      </c>
      <c r="G166" s="7">
        <v>2825</v>
      </c>
      <c r="H166" s="7">
        <f t="shared" si="27"/>
        <v>6123</v>
      </c>
      <c r="I166" s="7">
        <v>3067</v>
      </c>
      <c r="J166" s="7">
        <v>2845</v>
      </c>
      <c r="K166" s="7">
        <f t="shared" si="28"/>
        <v>5912</v>
      </c>
      <c r="L166" s="8">
        <v>17981</v>
      </c>
      <c r="M166" s="2">
        <f t="shared" ref="M166:M197" si="29">L166-N166</f>
        <v>9433</v>
      </c>
      <c r="N166" s="8">
        <v>8548</v>
      </c>
      <c r="O166" s="16">
        <f t="shared" si="22"/>
        <v>52.460930982703971</v>
      </c>
      <c r="P166" s="14">
        <f t="shared" si="21"/>
        <v>47.539069017296036</v>
      </c>
      <c r="Q166" s="9" t="s">
        <v>77</v>
      </c>
      <c r="R166" s="19">
        <f t="shared" si="25"/>
        <v>0.90618043040390117</v>
      </c>
      <c r="S166" s="9">
        <f t="shared" si="26"/>
        <v>0.9</v>
      </c>
    </row>
    <row r="167" spans="1:19" ht="15.5" x14ac:dyDescent="0.35">
      <c r="A167" s="27" t="s">
        <v>36</v>
      </c>
      <c r="B167" s="7">
        <v>15</v>
      </c>
      <c r="C167" s="10">
        <v>1575</v>
      </c>
      <c r="D167" s="7">
        <v>886</v>
      </c>
      <c r="E167" s="7">
        <v>2461</v>
      </c>
      <c r="F167" s="7">
        <v>1626</v>
      </c>
      <c r="G167" s="7">
        <v>901</v>
      </c>
      <c r="H167" s="7">
        <f t="shared" si="27"/>
        <v>2527</v>
      </c>
      <c r="I167" s="7">
        <v>1598</v>
      </c>
      <c r="J167" s="7">
        <v>725</v>
      </c>
      <c r="K167" s="7">
        <f t="shared" si="28"/>
        <v>2323</v>
      </c>
      <c r="L167" s="8">
        <v>7311</v>
      </c>
      <c r="M167" s="2">
        <f t="shared" si="29"/>
        <v>4799</v>
      </c>
      <c r="N167" s="8">
        <v>2512</v>
      </c>
      <c r="O167" s="16">
        <f t="shared" si="22"/>
        <v>65.640815209957609</v>
      </c>
      <c r="P167" s="14">
        <f t="shared" si="21"/>
        <v>34.359184790042399</v>
      </c>
      <c r="Q167" s="9" t="s">
        <v>77</v>
      </c>
      <c r="R167" s="19">
        <f t="shared" si="25"/>
        <v>0.52344238382996444</v>
      </c>
      <c r="S167" s="9">
        <f t="shared" si="26"/>
        <v>0.5</v>
      </c>
    </row>
    <row r="168" spans="1:19" ht="15.5" x14ac:dyDescent="0.35">
      <c r="A168" s="27" t="s">
        <v>37</v>
      </c>
      <c r="B168" s="7">
        <v>16</v>
      </c>
      <c r="C168" s="10">
        <v>641</v>
      </c>
      <c r="D168" s="7">
        <v>949</v>
      </c>
      <c r="E168" s="7">
        <v>1590</v>
      </c>
      <c r="F168" s="7">
        <v>658</v>
      </c>
      <c r="G168" s="7">
        <v>837</v>
      </c>
      <c r="H168" s="7">
        <f t="shared" si="27"/>
        <v>1495</v>
      </c>
      <c r="I168" s="7">
        <v>709</v>
      </c>
      <c r="J168" s="7">
        <v>952</v>
      </c>
      <c r="K168" s="7">
        <f t="shared" si="28"/>
        <v>1661</v>
      </c>
      <c r="L168" s="8">
        <v>4746</v>
      </c>
      <c r="M168" s="2">
        <f t="shared" si="29"/>
        <v>2008</v>
      </c>
      <c r="N168" s="8">
        <v>2738</v>
      </c>
      <c r="O168" s="16">
        <f t="shared" si="22"/>
        <v>42.309313105773285</v>
      </c>
      <c r="P168" s="14">
        <f t="shared" si="21"/>
        <v>57.690686894226715</v>
      </c>
      <c r="Q168" s="9" t="s">
        <v>77</v>
      </c>
      <c r="R168" s="19">
        <f t="shared" si="25"/>
        <v>1.3635458167330676</v>
      </c>
      <c r="S168" s="9">
        <f t="shared" si="26"/>
        <v>1.4</v>
      </c>
    </row>
    <row r="169" spans="1:19" ht="15.5" x14ac:dyDescent="0.35">
      <c r="A169" s="27" t="s">
        <v>38</v>
      </c>
      <c r="B169" s="7">
        <v>23</v>
      </c>
      <c r="C169" s="10">
        <v>1491</v>
      </c>
      <c r="D169" s="7">
        <v>1640</v>
      </c>
      <c r="E169" s="7">
        <v>3131</v>
      </c>
      <c r="F169" s="7">
        <v>1688</v>
      </c>
      <c r="G169" s="7">
        <v>1680</v>
      </c>
      <c r="H169" s="7">
        <f t="shared" si="27"/>
        <v>3368</v>
      </c>
      <c r="I169" s="7">
        <v>1544</v>
      </c>
      <c r="J169" s="7">
        <v>1550</v>
      </c>
      <c r="K169" s="7">
        <f t="shared" si="28"/>
        <v>3094</v>
      </c>
      <c r="L169" s="8">
        <v>9593</v>
      </c>
      <c r="M169" s="2">
        <f t="shared" si="29"/>
        <v>4723</v>
      </c>
      <c r="N169" s="8">
        <v>4870</v>
      </c>
      <c r="O169" s="16">
        <f t="shared" si="22"/>
        <v>49.233816324403215</v>
      </c>
      <c r="P169" s="14">
        <f t="shared" si="21"/>
        <v>50.766183675596785</v>
      </c>
      <c r="Q169" s="9" t="s">
        <v>77</v>
      </c>
      <c r="R169" s="19">
        <f t="shared" si="25"/>
        <v>1.0311242854118143</v>
      </c>
      <c r="S169" s="9">
        <f t="shared" si="26"/>
        <v>1</v>
      </c>
    </row>
    <row r="170" spans="1:19" ht="15.5" x14ac:dyDescent="0.35">
      <c r="A170" s="27" t="s">
        <v>39</v>
      </c>
      <c r="B170" s="7">
        <v>27</v>
      </c>
      <c r="C170" s="10">
        <v>2007</v>
      </c>
      <c r="D170" s="7">
        <v>1884</v>
      </c>
      <c r="E170" s="7">
        <v>3891</v>
      </c>
      <c r="F170" s="7">
        <v>1674</v>
      </c>
      <c r="G170" s="7">
        <v>1380</v>
      </c>
      <c r="H170" s="7">
        <f t="shared" si="27"/>
        <v>3054</v>
      </c>
      <c r="I170" s="7">
        <v>1268</v>
      </c>
      <c r="J170" s="7">
        <v>1023</v>
      </c>
      <c r="K170" s="7">
        <f t="shared" si="28"/>
        <v>2291</v>
      </c>
      <c r="L170" s="8">
        <v>9236</v>
      </c>
      <c r="M170" s="2">
        <f t="shared" si="29"/>
        <v>4949</v>
      </c>
      <c r="N170" s="8">
        <v>4287</v>
      </c>
      <c r="O170" s="16">
        <f t="shared" si="22"/>
        <v>53.583802511909916</v>
      </c>
      <c r="P170" s="14">
        <f t="shared" si="21"/>
        <v>46.416197488090084</v>
      </c>
      <c r="Q170" s="9" t="s">
        <v>77</v>
      </c>
      <c r="R170" s="19">
        <f t="shared" si="25"/>
        <v>0.86623560315215198</v>
      </c>
      <c r="S170" s="9">
        <f t="shared" si="26"/>
        <v>0.9</v>
      </c>
    </row>
    <row r="171" spans="1:19" ht="15.5" x14ac:dyDescent="0.35">
      <c r="A171" s="27" t="s">
        <v>40</v>
      </c>
      <c r="B171" s="7">
        <v>15</v>
      </c>
      <c r="C171" s="10">
        <v>2755</v>
      </c>
      <c r="D171" s="7">
        <v>3077</v>
      </c>
      <c r="E171" s="7">
        <v>5832</v>
      </c>
      <c r="F171" s="7">
        <v>2647</v>
      </c>
      <c r="G171" s="7">
        <v>3199</v>
      </c>
      <c r="H171" s="7">
        <f t="shared" si="27"/>
        <v>5846</v>
      </c>
      <c r="I171" s="7">
        <v>1890</v>
      </c>
      <c r="J171" s="7">
        <v>2787</v>
      </c>
      <c r="K171" s="7">
        <f t="shared" si="28"/>
        <v>4677</v>
      </c>
      <c r="L171" s="8">
        <v>16355</v>
      </c>
      <c r="M171" s="2">
        <f t="shared" si="29"/>
        <v>7292</v>
      </c>
      <c r="N171" s="8">
        <v>9063</v>
      </c>
      <c r="O171" s="16">
        <f t="shared" si="22"/>
        <v>44.585753592173646</v>
      </c>
      <c r="P171" s="14">
        <f t="shared" si="21"/>
        <v>55.414246407826354</v>
      </c>
      <c r="Q171" s="9" t="s">
        <v>77</v>
      </c>
      <c r="R171" s="19">
        <f t="shared" si="25"/>
        <v>1.2428688974218323</v>
      </c>
      <c r="S171" s="9">
        <f t="shared" si="26"/>
        <v>1.2</v>
      </c>
    </row>
    <row r="172" spans="1:19" ht="15.5" x14ac:dyDescent="0.35">
      <c r="A172" s="27" t="s">
        <v>41</v>
      </c>
      <c r="B172" s="7">
        <v>13</v>
      </c>
      <c r="C172" s="10">
        <v>1607</v>
      </c>
      <c r="D172" s="7">
        <v>3639</v>
      </c>
      <c r="E172" s="7">
        <v>5246</v>
      </c>
      <c r="F172" s="7">
        <v>1578</v>
      </c>
      <c r="G172" s="7">
        <v>3703</v>
      </c>
      <c r="H172" s="7">
        <f t="shared" si="27"/>
        <v>5281</v>
      </c>
      <c r="I172" s="7">
        <v>1640</v>
      </c>
      <c r="J172" s="7">
        <v>3297</v>
      </c>
      <c r="K172" s="7">
        <f t="shared" si="28"/>
        <v>4937</v>
      </c>
      <c r="L172" s="8">
        <v>15464</v>
      </c>
      <c r="M172" s="2">
        <f t="shared" si="29"/>
        <v>4825</v>
      </c>
      <c r="N172" s="8">
        <v>10639</v>
      </c>
      <c r="O172" s="16">
        <f t="shared" si="22"/>
        <v>31.201500258665288</v>
      </c>
      <c r="P172" s="14">
        <f t="shared" si="21"/>
        <v>68.798499741334723</v>
      </c>
      <c r="Q172" s="9" t="s">
        <v>77</v>
      </c>
      <c r="R172" s="19">
        <f t="shared" si="25"/>
        <v>2.2049740932642492</v>
      </c>
      <c r="S172" s="9">
        <f t="shared" si="26"/>
        <v>2.2000000000000002</v>
      </c>
    </row>
    <row r="173" spans="1:19" ht="15.5" x14ac:dyDescent="0.35">
      <c r="A173" s="27" t="s">
        <v>42</v>
      </c>
      <c r="B173" s="7">
        <v>14</v>
      </c>
      <c r="C173" s="10">
        <v>1177</v>
      </c>
      <c r="D173" s="7">
        <v>1186</v>
      </c>
      <c r="E173" s="7">
        <v>2363</v>
      </c>
      <c r="F173" s="7">
        <v>1237</v>
      </c>
      <c r="G173" s="7">
        <v>1255</v>
      </c>
      <c r="H173" s="7">
        <f t="shared" si="27"/>
        <v>2492</v>
      </c>
      <c r="I173" s="7">
        <v>1205</v>
      </c>
      <c r="J173" s="7">
        <v>1024</v>
      </c>
      <c r="K173" s="7">
        <f t="shared" si="28"/>
        <v>2229</v>
      </c>
      <c r="L173" s="8">
        <v>7084</v>
      </c>
      <c r="M173" s="2">
        <f t="shared" si="29"/>
        <v>3619</v>
      </c>
      <c r="N173" s="8">
        <v>3465</v>
      </c>
      <c r="O173" s="16">
        <f t="shared" si="22"/>
        <v>51.086956521739133</v>
      </c>
      <c r="P173" s="14">
        <f t="shared" si="21"/>
        <v>48.913043478260867</v>
      </c>
      <c r="Q173" s="9" t="s">
        <v>77</v>
      </c>
      <c r="R173" s="19">
        <f t="shared" si="25"/>
        <v>0.95744680851063824</v>
      </c>
      <c r="S173" s="9">
        <f t="shared" si="26"/>
        <v>1</v>
      </c>
    </row>
    <row r="174" spans="1:19" ht="15.5" x14ac:dyDescent="0.35">
      <c r="A174" s="27" t="s">
        <v>43</v>
      </c>
      <c r="B174" s="7">
        <v>12</v>
      </c>
      <c r="C174" s="10">
        <v>766</v>
      </c>
      <c r="D174" s="7">
        <v>567</v>
      </c>
      <c r="E174" s="7">
        <v>1333</v>
      </c>
      <c r="F174" s="7">
        <v>848</v>
      </c>
      <c r="G174" s="7">
        <v>640</v>
      </c>
      <c r="H174" s="7">
        <f t="shared" si="27"/>
        <v>1488</v>
      </c>
      <c r="I174" s="7">
        <v>657</v>
      </c>
      <c r="J174" s="7">
        <v>444</v>
      </c>
      <c r="K174" s="7">
        <f t="shared" si="28"/>
        <v>1101</v>
      </c>
      <c r="L174" s="8">
        <v>3922</v>
      </c>
      <c r="M174" s="2">
        <f t="shared" si="29"/>
        <v>2271</v>
      </c>
      <c r="N174" s="8">
        <v>1651</v>
      </c>
      <c r="O174" s="16">
        <f t="shared" si="22"/>
        <v>57.904130545639973</v>
      </c>
      <c r="P174" s="14">
        <f t="shared" si="21"/>
        <v>42.09586945436002</v>
      </c>
      <c r="Q174" s="9" t="s">
        <v>77</v>
      </c>
      <c r="R174" s="19">
        <f t="shared" si="25"/>
        <v>0.7269925143108763</v>
      </c>
      <c r="S174" s="9">
        <f t="shared" si="26"/>
        <v>0.7</v>
      </c>
    </row>
    <row r="175" spans="1:19" ht="15.5" x14ac:dyDescent="0.35">
      <c r="A175" s="27" t="s">
        <v>44</v>
      </c>
      <c r="B175" s="7">
        <v>13</v>
      </c>
      <c r="C175" s="10">
        <v>1128</v>
      </c>
      <c r="D175" s="7">
        <v>931</v>
      </c>
      <c r="E175" s="7">
        <v>2059</v>
      </c>
      <c r="F175" s="7">
        <v>1218</v>
      </c>
      <c r="G175" s="7">
        <v>846</v>
      </c>
      <c r="H175" s="7">
        <f t="shared" si="27"/>
        <v>2064</v>
      </c>
      <c r="I175" s="7">
        <v>1151</v>
      </c>
      <c r="J175" s="7">
        <v>907</v>
      </c>
      <c r="K175" s="7">
        <f t="shared" si="28"/>
        <v>2058</v>
      </c>
      <c r="L175" s="8">
        <v>6181</v>
      </c>
      <c r="M175" s="2">
        <f t="shared" si="29"/>
        <v>3497</v>
      </c>
      <c r="N175" s="8">
        <v>2684</v>
      </c>
      <c r="O175" s="16">
        <f t="shared" si="22"/>
        <v>56.576605727228603</v>
      </c>
      <c r="P175" s="14">
        <f t="shared" si="21"/>
        <v>43.423394272771397</v>
      </c>
      <c r="Q175" s="9" t="s">
        <v>77</v>
      </c>
      <c r="R175" s="19">
        <f t="shared" si="25"/>
        <v>0.7675150128681727</v>
      </c>
      <c r="S175" s="9">
        <f t="shared" si="26"/>
        <v>0.8</v>
      </c>
    </row>
    <row r="176" spans="1:19" ht="15.5" x14ac:dyDescent="0.35">
      <c r="A176" s="27" t="s">
        <v>45</v>
      </c>
      <c r="B176" s="7">
        <v>18</v>
      </c>
      <c r="C176" s="10">
        <v>1209</v>
      </c>
      <c r="D176" s="7">
        <v>883</v>
      </c>
      <c r="E176" s="7">
        <v>2092</v>
      </c>
      <c r="F176" s="7">
        <v>11253</v>
      </c>
      <c r="G176" s="7">
        <v>851</v>
      </c>
      <c r="H176" s="7">
        <f t="shared" si="27"/>
        <v>12104</v>
      </c>
      <c r="I176" s="7">
        <v>908</v>
      </c>
      <c r="J176" s="7">
        <v>639</v>
      </c>
      <c r="K176" s="7">
        <f t="shared" si="28"/>
        <v>1547</v>
      </c>
      <c r="L176" s="8">
        <v>5743</v>
      </c>
      <c r="M176" s="2">
        <f t="shared" si="29"/>
        <v>3370</v>
      </c>
      <c r="N176" s="8">
        <v>2373</v>
      </c>
      <c r="O176" s="16">
        <f t="shared" si="22"/>
        <v>58.680132335016545</v>
      </c>
      <c r="P176" s="14">
        <f t="shared" si="21"/>
        <v>41.319867664983455</v>
      </c>
      <c r="Q176" s="9" t="s">
        <v>77</v>
      </c>
      <c r="R176" s="19">
        <f t="shared" si="25"/>
        <v>0.70415430267062307</v>
      </c>
      <c r="S176" s="9">
        <f t="shared" si="26"/>
        <v>0.7</v>
      </c>
    </row>
    <row r="177" spans="1:19" ht="15.5" x14ac:dyDescent="0.35">
      <c r="A177" s="27" t="s">
        <v>46</v>
      </c>
      <c r="B177" s="7">
        <v>18</v>
      </c>
      <c r="C177" s="10">
        <v>1831</v>
      </c>
      <c r="D177" s="7">
        <v>1117</v>
      </c>
      <c r="E177" s="7">
        <v>2948</v>
      </c>
      <c r="F177" s="7">
        <v>1522</v>
      </c>
      <c r="G177" s="7">
        <v>1108</v>
      </c>
      <c r="H177" s="7">
        <f t="shared" si="27"/>
        <v>2630</v>
      </c>
      <c r="I177" s="7">
        <v>1652</v>
      </c>
      <c r="J177" s="7">
        <v>792</v>
      </c>
      <c r="K177" s="7">
        <f t="shared" si="28"/>
        <v>2444</v>
      </c>
      <c r="L177" s="8">
        <v>8022</v>
      </c>
      <c r="M177" s="2">
        <f t="shared" si="29"/>
        <v>5005</v>
      </c>
      <c r="N177" s="8">
        <v>3017</v>
      </c>
      <c r="O177" s="16">
        <f t="shared" si="22"/>
        <v>62.390924956369986</v>
      </c>
      <c r="P177" s="14">
        <f t="shared" si="21"/>
        <v>37.609075043630021</v>
      </c>
      <c r="Q177" s="9" t="s">
        <v>77</v>
      </c>
      <c r="R177" s="19">
        <f t="shared" si="25"/>
        <v>0.60279720279720284</v>
      </c>
      <c r="S177" s="9">
        <f t="shared" si="26"/>
        <v>0.6</v>
      </c>
    </row>
    <row r="178" spans="1:19" ht="15.5" x14ac:dyDescent="0.35">
      <c r="A178" s="27" t="s">
        <v>47</v>
      </c>
      <c r="B178" s="7">
        <v>5</v>
      </c>
      <c r="C178" s="10">
        <v>531</v>
      </c>
      <c r="D178" s="7">
        <v>406</v>
      </c>
      <c r="E178" s="7">
        <v>937</v>
      </c>
      <c r="F178" s="7">
        <v>758</v>
      </c>
      <c r="G178" s="7">
        <v>492</v>
      </c>
      <c r="H178" s="7">
        <f t="shared" si="27"/>
        <v>1250</v>
      </c>
      <c r="I178" s="7">
        <v>694</v>
      </c>
      <c r="J178" s="7">
        <v>400</v>
      </c>
      <c r="K178" s="7">
        <f t="shared" si="28"/>
        <v>1094</v>
      </c>
      <c r="L178" s="8">
        <v>3281</v>
      </c>
      <c r="M178" s="2">
        <f t="shared" si="29"/>
        <v>1983</v>
      </c>
      <c r="N178" s="8">
        <v>1298</v>
      </c>
      <c r="O178" s="16">
        <f t="shared" si="22"/>
        <v>60.438890582139592</v>
      </c>
      <c r="P178" s="14">
        <f t="shared" si="21"/>
        <v>39.561109417860408</v>
      </c>
      <c r="Q178" s="9" t="s">
        <v>77</v>
      </c>
      <c r="R178" s="19">
        <f t="shared" si="25"/>
        <v>0.65456379223398886</v>
      </c>
      <c r="S178" s="9">
        <f t="shared" si="26"/>
        <v>0.7</v>
      </c>
    </row>
    <row r="179" spans="1:19" ht="15.5" x14ac:dyDescent="0.35">
      <c r="A179" s="27" t="s">
        <v>48</v>
      </c>
      <c r="B179" s="7">
        <v>15</v>
      </c>
      <c r="C179" s="10">
        <v>1570</v>
      </c>
      <c r="D179" s="7">
        <v>1117</v>
      </c>
      <c r="E179" s="7">
        <v>2687</v>
      </c>
      <c r="F179" s="7">
        <v>1627</v>
      </c>
      <c r="G179" s="7">
        <v>1152</v>
      </c>
      <c r="H179" s="7">
        <f t="shared" si="27"/>
        <v>2779</v>
      </c>
      <c r="I179" s="7">
        <v>1531</v>
      </c>
      <c r="J179" s="7">
        <v>1033</v>
      </c>
      <c r="K179" s="7">
        <f t="shared" si="28"/>
        <v>2564</v>
      </c>
      <c r="L179" s="8">
        <v>8030</v>
      </c>
      <c r="M179" s="2">
        <f t="shared" si="29"/>
        <v>4728</v>
      </c>
      <c r="N179" s="8">
        <v>3302</v>
      </c>
      <c r="O179" s="16">
        <f t="shared" si="22"/>
        <v>58.879202988792031</v>
      </c>
      <c r="P179" s="14">
        <f t="shared" si="21"/>
        <v>41.120797011207969</v>
      </c>
      <c r="Q179" s="9" t="s">
        <v>77</v>
      </c>
      <c r="R179" s="19">
        <f t="shared" si="25"/>
        <v>0.69839255499153974</v>
      </c>
      <c r="S179" s="9">
        <f t="shared" si="26"/>
        <v>0.7</v>
      </c>
    </row>
    <row r="180" spans="1:19" ht="15.5" x14ac:dyDescent="0.35">
      <c r="A180" s="27" t="s">
        <v>49</v>
      </c>
      <c r="B180" s="7">
        <v>10</v>
      </c>
      <c r="C180" s="10">
        <v>1034</v>
      </c>
      <c r="D180" s="7">
        <v>723</v>
      </c>
      <c r="E180" s="7">
        <v>1757</v>
      </c>
      <c r="F180" s="7">
        <v>1272</v>
      </c>
      <c r="G180" s="7">
        <v>766</v>
      </c>
      <c r="H180" s="7">
        <f t="shared" si="27"/>
        <v>2038</v>
      </c>
      <c r="I180" s="7">
        <v>1147</v>
      </c>
      <c r="J180" s="7">
        <v>681</v>
      </c>
      <c r="K180" s="7">
        <f t="shared" si="28"/>
        <v>1828</v>
      </c>
      <c r="L180" s="8">
        <v>5623</v>
      </c>
      <c r="M180" s="2">
        <f t="shared" si="29"/>
        <v>3453</v>
      </c>
      <c r="N180" s="8">
        <v>2170</v>
      </c>
      <c r="O180" s="16">
        <f t="shared" si="22"/>
        <v>61.40850080028455</v>
      </c>
      <c r="P180" s="14">
        <f t="shared" si="21"/>
        <v>38.591499199715457</v>
      </c>
      <c r="Q180" s="9" t="s">
        <v>77</v>
      </c>
      <c r="R180" s="19">
        <f t="shared" si="25"/>
        <v>0.62843903851723137</v>
      </c>
      <c r="S180" s="9">
        <f t="shared" si="26"/>
        <v>0.6</v>
      </c>
    </row>
    <row r="181" spans="1:19" ht="15.5" x14ac:dyDescent="0.35">
      <c r="A181" s="27" t="s">
        <v>50</v>
      </c>
      <c r="B181" s="7">
        <v>14</v>
      </c>
      <c r="C181" s="10">
        <v>3499</v>
      </c>
      <c r="D181" s="7">
        <v>4366</v>
      </c>
      <c r="E181" s="7">
        <v>7865</v>
      </c>
      <c r="F181" s="7">
        <v>3111</v>
      </c>
      <c r="G181" s="7">
        <v>4344</v>
      </c>
      <c r="H181" s="7">
        <f t="shared" si="27"/>
        <v>7455</v>
      </c>
      <c r="I181" s="7">
        <v>2720</v>
      </c>
      <c r="J181" s="7">
        <v>3664</v>
      </c>
      <c r="K181" s="7">
        <f t="shared" si="28"/>
        <v>6384</v>
      </c>
      <c r="L181" s="8">
        <v>21704</v>
      </c>
      <c r="M181" s="2">
        <f t="shared" si="29"/>
        <v>9330</v>
      </c>
      <c r="N181" s="8">
        <v>12374</v>
      </c>
      <c r="O181" s="16">
        <f t="shared" si="22"/>
        <v>42.987467747880572</v>
      </c>
      <c r="P181" s="14">
        <f t="shared" si="21"/>
        <v>57.012532252119428</v>
      </c>
      <c r="Q181" s="9" t="s">
        <v>77</v>
      </c>
      <c r="R181" s="19">
        <f t="shared" si="25"/>
        <v>1.3262593783494105</v>
      </c>
      <c r="S181" s="9">
        <f t="shared" si="26"/>
        <v>1.3</v>
      </c>
    </row>
    <row r="182" spans="1:19" ht="15.5" x14ac:dyDescent="0.35">
      <c r="A182" s="27" t="s">
        <v>51</v>
      </c>
      <c r="B182" s="7">
        <v>16</v>
      </c>
      <c r="C182" s="10">
        <v>766</v>
      </c>
      <c r="D182" s="7">
        <v>773</v>
      </c>
      <c r="E182" s="7">
        <v>1539</v>
      </c>
      <c r="F182" s="7">
        <v>777</v>
      </c>
      <c r="G182" s="7">
        <v>770</v>
      </c>
      <c r="H182" s="7">
        <f t="shared" si="27"/>
        <v>1547</v>
      </c>
      <c r="I182" s="7">
        <v>891</v>
      </c>
      <c r="J182" s="7">
        <v>761</v>
      </c>
      <c r="K182" s="7">
        <f t="shared" si="28"/>
        <v>1652</v>
      </c>
      <c r="L182" s="8">
        <v>4738</v>
      </c>
      <c r="M182" s="2">
        <f t="shared" si="29"/>
        <v>2434</v>
      </c>
      <c r="N182" s="8">
        <v>2304</v>
      </c>
      <c r="O182" s="16">
        <f t="shared" si="22"/>
        <v>51.371886872097924</v>
      </c>
      <c r="P182" s="14">
        <f t="shared" si="21"/>
        <v>48.628113127902068</v>
      </c>
      <c r="Q182" s="9" t="s">
        <v>77</v>
      </c>
      <c r="R182" s="19">
        <f t="shared" si="25"/>
        <v>0.94658997534921951</v>
      </c>
      <c r="S182" s="9">
        <f t="shared" si="26"/>
        <v>0.9</v>
      </c>
    </row>
    <row r="183" spans="1:19" ht="15.5" x14ac:dyDescent="0.35">
      <c r="A183" s="27" t="s">
        <v>52</v>
      </c>
      <c r="B183" s="7">
        <v>12</v>
      </c>
      <c r="C183" s="7">
        <v>927</v>
      </c>
      <c r="D183" s="7">
        <v>534</v>
      </c>
      <c r="E183" s="7">
        <f>C183+D183</f>
        <v>1461</v>
      </c>
      <c r="F183" s="7">
        <v>937</v>
      </c>
      <c r="G183" s="7">
        <v>496</v>
      </c>
      <c r="H183" s="7">
        <f t="shared" si="27"/>
        <v>1433</v>
      </c>
      <c r="I183" s="7">
        <v>822</v>
      </c>
      <c r="J183" s="7">
        <v>490</v>
      </c>
      <c r="K183" s="7">
        <f t="shared" si="28"/>
        <v>1312</v>
      </c>
      <c r="L183" s="8">
        <v>4206</v>
      </c>
      <c r="M183" s="2">
        <f t="shared" si="29"/>
        <v>2686</v>
      </c>
      <c r="N183" s="8">
        <v>1520</v>
      </c>
      <c r="O183" s="16">
        <f t="shared" si="22"/>
        <v>63.861150737042315</v>
      </c>
      <c r="P183" s="14">
        <f t="shared" si="21"/>
        <v>36.138849262957677</v>
      </c>
      <c r="Q183" s="9" t="s">
        <v>77</v>
      </c>
      <c r="R183" s="19">
        <f t="shared" si="25"/>
        <v>0.56589724497393901</v>
      </c>
      <c r="S183" s="9">
        <f t="shared" si="26"/>
        <v>0.6</v>
      </c>
    </row>
    <row r="184" spans="1:19" ht="15.5" x14ac:dyDescent="0.35">
      <c r="A184" s="27" t="s">
        <v>53</v>
      </c>
      <c r="B184" s="7">
        <v>40</v>
      </c>
      <c r="C184" s="7">
        <v>1569</v>
      </c>
      <c r="D184" s="7">
        <v>1802</v>
      </c>
      <c r="E184" s="7">
        <f t="shared" ref="E184:E185" si="30">C184+D184</f>
        <v>3371</v>
      </c>
      <c r="F184" s="7">
        <v>1571</v>
      </c>
      <c r="G184" s="7">
        <v>1932</v>
      </c>
      <c r="H184" s="7">
        <f t="shared" si="27"/>
        <v>3503</v>
      </c>
      <c r="I184" s="7">
        <v>1519</v>
      </c>
      <c r="J184" s="7">
        <v>1569</v>
      </c>
      <c r="K184" s="7">
        <f t="shared" si="28"/>
        <v>3088</v>
      </c>
      <c r="L184" s="8">
        <v>9962</v>
      </c>
      <c r="M184" s="2">
        <f t="shared" si="29"/>
        <v>4659</v>
      </c>
      <c r="N184" s="8">
        <v>5303</v>
      </c>
      <c r="O184" s="16">
        <f t="shared" si="22"/>
        <v>46.767717325838184</v>
      </c>
      <c r="P184" s="14">
        <f t="shared" si="21"/>
        <v>53.232282674161816</v>
      </c>
      <c r="Q184" s="9" t="s">
        <v>77</v>
      </c>
      <c r="R184" s="19">
        <f t="shared" si="25"/>
        <v>1.1382270873578022</v>
      </c>
      <c r="S184" s="9">
        <f t="shared" si="26"/>
        <v>1.1000000000000001</v>
      </c>
    </row>
    <row r="185" spans="1:19" ht="15.5" x14ac:dyDescent="0.35">
      <c r="A185" s="27" t="s">
        <v>54</v>
      </c>
      <c r="B185" s="7">
        <v>19</v>
      </c>
      <c r="C185" s="7">
        <v>4578</v>
      </c>
      <c r="D185" s="7">
        <v>5495</v>
      </c>
      <c r="E185" s="7">
        <f t="shared" si="30"/>
        <v>10073</v>
      </c>
      <c r="F185" s="7">
        <v>4734</v>
      </c>
      <c r="G185" s="7">
        <v>4738</v>
      </c>
      <c r="H185" s="7">
        <f t="shared" si="27"/>
        <v>9472</v>
      </c>
      <c r="I185" s="7">
        <v>4305</v>
      </c>
      <c r="J185" s="7">
        <v>4278</v>
      </c>
      <c r="K185" s="7">
        <f t="shared" si="28"/>
        <v>8583</v>
      </c>
      <c r="L185" s="8">
        <v>28128</v>
      </c>
      <c r="M185" s="2">
        <f t="shared" si="29"/>
        <v>13617</v>
      </c>
      <c r="N185" s="8">
        <v>14511</v>
      </c>
      <c r="O185" s="16">
        <f t="shared" si="22"/>
        <v>48.410836177474401</v>
      </c>
      <c r="P185" s="14">
        <f t="shared" si="21"/>
        <v>51.589163822525599</v>
      </c>
      <c r="Q185" s="9" t="s">
        <v>77</v>
      </c>
      <c r="R185" s="19">
        <f t="shared" si="25"/>
        <v>1.0656532275831683</v>
      </c>
      <c r="S185" s="9">
        <f t="shared" si="26"/>
        <v>1.1000000000000001</v>
      </c>
    </row>
    <row r="186" spans="1:19" ht="15.5" x14ac:dyDescent="0.35">
      <c r="A186" s="27" t="s">
        <v>5</v>
      </c>
      <c r="B186" s="5">
        <v>11</v>
      </c>
      <c r="C186" s="61">
        <v>1143</v>
      </c>
      <c r="D186" s="61">
        <v>818</v>
      </c>
      <c r="E186" s="61">
        <v>1961</v>
      </c>
      <c r="F186" s="61">
        <v>1100</v>
      </c>
      <c r="G186" s="61">
        <v>737</v>
      </c>
      <c r="H186" s="61">
        <v>1837</v>
      </c>
      <c r="I186" s="61">
        <v>954</v>
      </c>
      <c r="J186" s="61">
        <v>638</v>
      </c>
      <c r="K186" s="62">
        <v>1592</v>
      </c>
      <c r="L186" s="5">
        <v>5390</v>
      </c>
      <c r="M186" s="2">
        <f t="shared" si="29"/>
        <v>3197</v>
      </c>
      <c r="N186" s="5">
        <v>2193</v>
      </c>
      <c r="O186" s="16">
        <f t="shared" si="22"/>
        <v>59.313543599257891</v>
      </c>
      <c r="P186" s="14">
        <f t="shared" si="21"/>
        <v>40.686456400742117</v>
      </c>
      <c r="Q186" s="9" t="s">
        <v>78</v>
      </c>
      <c r="R186" s="19">
        <f t="shared" si="25"/>
        <v>0.68595558335939943</v>
      </c>
      <c r="S186" s="9">
        <f t="shared" ref="S186:S208" si="31">ROUND(R186, 1)</f>
        <v>0.7</v>
      </c>
    </row>
    <row r="187" spans="1:19" ht="15.5" x14ac:dyDescent="0.35">
      <c r="A187" s="27" t="s">
        <v>33</v>
      </c>
      <c r="B187" s="5">
        <v>14</v>
      </c>
      <c r="C187" s="61">
        <v>1867</v>
      </c>
      <c r="D187" s="61">
        <v>2353</v>
      </c>
      <c r="E187" s="61">
        <v>4220</v>
      </c>
      <c r="F187" s="61">
        <v>1859</v>
      </c>
      <c r="G187" s="61">
        <v>2131</v>
      </c>
      <c r="H187" s="61">
        <v>3990</v>
      </c>
      <c r="I187" s="61">
        <v>1656</v>
      </c>
      <c r="J187" s="61">
        <v>1684</v>
      </c>
      <c r="K187" s="62">
        <v>3340</v>
      </c>
      <c r="L187" s="5">
        <v>11550</v>
      </c>
      <c r="M187" s="2">
        <f t="shared" si="29"/>
        <v>5382</v>
      </c>
      <c r="N187" s="5">
        <v>6168</v>
      </c>
      <c r="O187" s="16">
        <f t="shared" si="22"/>
        <v>46.597402597402599</v>
      </c>
      <c r="P187" s="14">
        <f t="shared" si="21"/>
        <v>53.402597402597408</v>
      </c>
      <c r="Q187" s="9" t="s">
        <v>78</v>
      </c>
      <c r="R187" s="19">
        <f t="shared" si="25"/>
        <v>1.1460423634336678</v>
      </c>
      <c r="S187" s="9">
        <f t="shared" si="31"/>
        <v>1.1000000000000001</v>
      </c>
    </row>
    <row r="188" spans="1:19" ht="15.5" x14ac:dyDescent="0.35">
      <c r="A188" s="27" t="s">
        <v>34</v>
      </c>
      <c r="B188" s="5">
        <v>9</v>
      </c>
      <c r="C188" s="61">
        <v>1270</v>
      </c>
      <c r="D188" s="61">
        <v>954</v>
      </c>
      <c r="E188" s="61">
        <v>2224</v>
      </c>
      <c r="F188" s="61">
        <v>1037</v>
      </c>
      <c r="G188" s="61">
        <v>759</v>
      </c>
      <c r="H188" s="61">
        <v>1796</v>
      </c>
      <c r="I188" s="61">
        <v>930</v>
      </c>
      <c r="J188" s="61">
        <v>860</v>
      </c>
      <c r="K188" s="62">
        <v>1790</v>
      </c>
      <c r="L188" s="5">
        <v>5810</v>
      </c>
      <c r="M188" s="2">
        <f t="shared" si="29"/>
        <v>3237</v>
      </c>
      <c r="N188" s="5">
        <v>2573</v>
      </c>
      <c r="O188" s="16">
        <f t="shared" si="22"/>
        <v>55.714285714285715</v>
      </c>
      <c r="P188" s="14">
        <f t="shared" si="21"/>
        <v>44.285714285714285</v>
      </c>
      <c r="Q188" s="9" t="s">
        <v>78</v>
      </c>
      <c r="R188" s="19">
        <f t="shared" si="25"/>
        <v>0.79487179487179482</v>
      </c>
      <c r="S188" s="9">
        <f t="shared" si="31"/>
        <v>0.8</v>
      </c>
    </row>
    <row r="189" spans="1:19" ht="15.5" x14ac:dyDescent="0.35">
      <c r="A189" s="27" t="s">
        <v>35</v>
      </c>
      <c r="B189" s="5">
        <v>15</v>
      </c>
      <c r="C189" s="61">
        <v>2873</v>
      </c>
      <c r="D189" s="61">
        <v>2803</v>
      </c>
      <c r="E189" s="61">
        <v>5676</v>
      </c>
      <c r="F189" s="61">
        <v>2822</v>
      </c>
      <c r="G189" s="61">
        <v>2728</v>
      </c>
      <c r="H189" s="61">
        <v>5550</v>
      </c>
      <c r="I189" s="61">
        <v>2394</v>
      </c>
      <c r="J189" s="61">
        <v>1939</v>
      </c>
      <c r="K189" s="62">
        <v>4333</v>
      </c>
      <c r="L189" s="5">
        <v>15559</v>
      </c>
      <c r="M189" s="2">
        <f t="shared" si="29"/>
        <v>8089</v>
      </c>
      <c r="N189" s="5">
        <v>7470</v>
      </c>
      <c r="O189" s="16">
        <f t="shared" si="22"/>
        <v>51.989202390899159</v>
      </c>
      <c r="P189" s="14">
        <f t="shared" si="21"/>
        <v>48.010797609100841</v>
      </c>
      <c r="Q189" s="9" t="s">
        <v>78</v>
      </c>
      <c r="R189" s="19">
        <f t="shared" si="25"/>
        <v>0.92347632587464457</v>
      </c>
      <c r="S189" s="9">
        <f t="shared" si="31"/>
        <v>0.9</v>
      </c>
    </row>
    <row r="190" spans="1:19" ht="15.5" x14ac:dyDescent="0.35">
      <c r="A190" s="27" t="s">
        <v>36</v>
      </c>
      <c r="B190" s="5">
        <v>15</v>
      </c>
      <c r="C190" s="61">
        <v>1499</v>
      </c>
      <c r="D190" s="61">
        <v>918</v>
      </c>
      <c r="E190" s="61">
        <v>2417</v>
      </c>
      <c r="F190" s="61">
        <v>1589</v>
      </c>
      <c r="G190" s="61">
        <v>933</v>
      </c>
      <c r="H190" s="61">
        <v>2522</v>
      </c>
      <c r="I190" s="61">
        <v>1297</v>
      </c>
      <c r="J190" s="61">
        <v>639</v>
      </c>
      <c r="K190" s="62">
        <v>1936</v>
      </c>
      <c r="L190" s="5">
        <v>6875</v>
      </c>
      <c r="M190" s="2">
        <f t="shared" si="29"/>
        <v>4385</v>
      </c>
      <c r="N190" s="5">
        <v>2490</v>
      </c>
      <c r="O190" s="16">
        <f t="shared" si="22"/>
        <v>63.781818181818181</v>
      </c>
      <c r="P190" s="14">
        <f t="shared" si="21"/>
        <v>36.218181818181819</v>
      </c>
      <c r="Q190" s="9" t="s">
        <v>78</v>
      </c>
      <c r="R190" s="19">
        <f t="shared" si="25"/>
        <v>0.5678449258836944</v>
      </c>
      <c r="S190" s="9">
        <f t="shared" si="31"/>
        <v>0.6</v>
      </c>
    </row>
    <row r="191" spans="1:19" ht="15.5" x14ac:dyDescent="0.35">
      <c r="A191" s="27" t="s">
        <v>37</v>
      </c>
      <c r="B191" s="5">
        <v>13</v>
      </c>
      <c r="C191" s="61">
        <v>574</v>
      </c>
      <c r="D191" s="61">
        <v>519</v>
      </c>
      <c r="E191" s="61">
        <v>1093</v>
      </c>
      <c r="F191" s="61">
        <v>610</v>
      </c>
      <c r="G191" s="61">
        <v>471</v>
      </c>
      <c r="H191" s="61">
        <v>1081</v>
      </c>
      <c r="I191" s="61">
        <v>707</v>
      </c>
      <c r="J191" s="61">
        <v>536</v>
      </c>
      <c r="K191" s="62">
        <v>1243</v>
      </c>
      <c r="L191" s="5">
        <v>3417</v>
      </c>
      <c r="M191" s="2">
        <f t="shared" si="29"/>
        <v>1891</v>
      </c>
      <c r="N191" s="5">
        <v>1526</v>
      </c>
      <c r="O191" s="16">
        <f t="shared" si="22"/>
        <v>55.340942347088088</v>
      </c>
      <c r="P191" s="14">
        <f t="shared" si="21"/>
        <v>44.659057652911912</v>
      </c>
      <c r="Q191" s="9" t="s">
        <v>78</v>
      </c>
      <c r="R191" s="19">
        <f t="shared" si="25"/>
        <v>0.80698043363299843</v>
      </c>
      <c r="S191" s="9">
        <f t="shared" si="31"/>
        <v>0.8</v>
      </c>
    </row>
    <row r="192" spans="1:19" ht="15.5" x14ac:dyDescent="0.35">
      <c r="A192" s="27" t="s">
        <v>38</v>
      </c>
      <c r="B192" s="5">
        <v>23</v>
      </c>
      <c r="C192" s="61">
        <v>1544</v>
      </c>
      <c r="D192" s="61">
        <v>1645</v>
      </c>
      <c r="E192" s="61">
        <v>3189</v>
      </c>
      <c r="F192" s="61">
        <v>1633</v>
      </c>
      <c r="G192" s="61">
        <v>1618</v>
      </c>
      <c r="H192" s="61">
        <v>3251</v>
      </c>
      <c r="I192" s="61">
        <v>1677</v>
      </c>
      <c r="J192" s="61">
        <v>1659</v>
      </c>
      <c r="K192" s="62">
        <v>3336</v>
      </c>
      <c r="L192" s="5">
        <v>9776</v>
      </c>
      <c r="M192" s="2">
        <f t="shared" si="29"/>
        <v>4854</v>
      </c>
      <c r="N192" s="5">
        <v>4922</v>
      </c>
      <c r="O192" s="16">
        <f t="shared" si="22"/>
        <v>49.652209492635023</v>
      </c>
      <c r="P192" s="14">
        <f t="shared" si="21"/>
        <v>50.347790507364977</v>
      </c>
      <c r="Q192" s="9" t="s">
        <v>78</v>
      </c>
      <c r="R192" s="19">
        <f t="shared" si="25"/>
        <v>1.0140090646889164</v>
      </c>
      <c r="S192" s="9">
        <f t="shared" si="31"/>
        <v>1</v>
      </c>
    </row>
    <row r="193" spans="1:19" ht="15.5" x14ac:dyDescent="0.35">
      <c r="A193" s="27" t="s">
        <v>39</v>
      </c>
      <c r="B193" s="5">
        <v>24</v>
      </c>
      <c r="C193" s="61">
        <v>1437</v>
      </c>
      <c r="D193" s="61">
        <v>1273</v>
      </c>
      <c r="E193" s="61">
        <v>2710</v>
      </c>
      <c r="F193" s="61">
        <v>1342</v>
      </c>
      <c r="G193" s="61">
        <v>1290</v>
      </c>
      <c r="H193" s="61">
        <v>2632</v>
      </c>
      <c r="I193" s="61">
        <v>1090</v>
      </c>
      <c r="J193" s="61">
        <v>911</v>
      </c>
      <c r="K193" s="62">
        <v>2001</v>
      </c>
      <c r="L193" s="5">
        <v>7343</v>
      </c>
      <c r="M193" s="2">
        <f t="shared" si="29"/>
        <v>3869</v>
      </c>
      <c r="N193" s="5">
        <v>3474</v>
      </c>
      <c r="O193" s="16">
        <f t="shared" si="22"/>
        <v>52.689636388397112</v>
      </c>
      <c r="P193" s="14">
        <f t="shared" si="21"/>
        <v>47.310363611602888</v>
      </c>
      <c r="Q193" s="9" t="s">
        <v>78</v>
      </c>
      <c r="R193" s="19">
        <f t="shared" si="25"/>
        <v>0.89790643577151719</v>
      </c>
      <c r="S193" s="9">
        <f t="shared" si="31"/>
        <v>0.9</v>
      </c>
    </row>
    <row r="194" spans="1:19" ht="15.5" x14ac:dyDescent="0.35">
      <c r="A194" s="27" t="s">
        <v>40</v>
      </c>
      <c r="B194" s="5">
        <v>18</v>
      </c>
      <c r="C194" s="61">
        <v>2601</v>
      </c>
      <c r="D194" s="61">
        <v>3493</v>
      </c>
      <c r="E194" s="61">
        <v>6094</v>
      </c>
      <c r="F194" s="61">
        <v>2895</v>
      </c>
      <c r="G194" s="61">
        <v>3480</v>
      </c>
      <c r="H194" s="61">
        <v>6375</v>
      </c>
      <c r="I194" s="61">
        <v>2574</v>
      </c>
      <c r="J194" s="61">
        <v>3345</v>
      </c>
      <c r="K194" s="62">
        <v>5919</v>
      </c>
      <c r="L194" s="5">
        <v>18388</v>
      </c>
      <c r="M194" s="2">
        <f t="shared" si="29"/>
        <v>8070</v>
      </c>
      <c r="N194" s="5">
        <v>10318</v>
      </c>
      <c r="O194" s="16">
        <f t="shared" si="22"/>
        <v>43.887317815966938</v>
      </c>
      <c r="P194" s="14">
        <f t="shared" ref="P194:P208" si="32">N194/L194*100</f>
        <v>56.112682184033069</v>
      </c>
      <c r="Q194" s="9" t="s">
        <v>78</v>
      </c>
      <c r="R194" s="19">
        <f t="shared" si="25"/>
        <v>1.2785625774473359</v>
      </c>
      <c r="S194" s="9">
        <f t="shared" si="31"/>
        <v>1.3</v>
      </c>
    </row>
    <row r="195" spans="1:19" ht="15.5" x14ac:dyDescent="0.35">
      <c r="A195" s="27" t="s">
        <v>41</v>
      </c>
      <c r="B195" s="5">
        <v>14</v>
      </c>
      <c r="C195" s="61">
        <v>2054</v>
      </c>
      <c r="D195" s="61">
        <v>3558</v>
      </c>
      <c r="E195" s="61">
        <v>5612</v>
      </c>
      <c r="F195" s="61">
        <v>1648</v>
      </c>
      <c r="G195" s="61">
        <v>3538</v>
      </c>
      <c r="H195" s="61">
        <v>5186</v>
      </c>
      <c r="I195" s="61">
        <v>1030</v>
      </c>
      <c r="J195" s="61">
        <v>3082</v>
      </c>
      <c r="K195" s="62">
        <v>4112</v>
      </c>
      <c r="L195" s="5">
        <v>14910</v>
      </c>
      <c r="M195" s="2">
        <f t="shared" si="29"/>
        <v>4732</v>
      </c>
      <c r="N195" s="5">
        <v>10178</v>
      </c>
      <c r="O195" s="16">
        <f t="shared" ref="O195:O208" si="33">M195/L195*100</f>
        <v>31.737089201877932</v>
      </c>
      <c r="P195" s="14">
        <f t="shared" si="32"/>
        <v>68.262910798122064</v>
      </c>
      <c r="Q195" s="9" t="s">
        <v>78</v>
      </c>
      <c r="R195" s="19">
        <f t="shared" si="25"/>
        <v>2.1508875739644973</v>
      </c>
      <c r="S195" s="9">
        <f t="shared" si="31"/>
        <v>2.2000000000000002</v>
      </c>
    </row>
    <row r="196" spans="1:19" ht="15.5" x14ac:dyDescent="0.35">
      <c r="A196" s="27" t="s">
        <v>42</v>
      </c>
      <c r="B196" s="5">
        <v>19</v>
      </c>
      <c r="C196" s="61">
        <v>1502</v>
      </c>
      <c r="D196" s="61">
        <v>1437</v>
      </c>
      <c r="E196" s="61">
        <v>2939</v>
      </c>
      <c r="F196" s="61">
        <v>1684</v>
      </c>
      <c r="G196" s="61">
        <v>1723</v>
      </c>
      <c r="H196" s="61">
        <v>3407</v>
      </c>
      <c r="I196" s="61">
        <v>1909</v>
      </c>
      <c r="J196" s="61">
        <v>1615</v>
      </c>
      <c r="K196" s="62">
        <v>3524</v>
      </c>
      <c r="L196" s="5">
        <v>9870</v>
      </c>
      <c r="M196" s="2">
        <f t="shared" si="29"/>
        <v>5095</v>
      </c>
      <c r="N196" s="5">
        <v>4775</v>
      </c>
      <c r="O196" s="16">
        <f t="shared" si="33"/>
        <v>51.621073961499498</v>
      </c>
      <c r="P196" s="14">
        <f t="shared" si="32"/>
        <v>48.378926038500509</v>
      </c>
      <c r="Q196" s="9" t="s">
        <v>78</v>
      </c>
      <c r="R196" s="19">
        <f t="shared" si="25"/>
        <v>0.93719332679097156</v>
      </c>
      <c r="S196" s="9">
        <f t="shared" si="31"/>
        <v>0.9</v>
      </c>
    </row>
    <row r="197" spans="1:19" ht="15.5" x14ac:dyDescent="0.35">
      <c r="A197" s="27" t="s">
        <v>43</v>
      </c>
      <c r="B197" s="5">
        <v>12</v>
      </c>
      <c r="C197" s="61">
        <v>612</v>
      </c>
      <c r="D197" s="61">
        <v>534</v>
      </c>
      <c r="E197" s="61">
        <v>1146</v>
      </c>
      <c r="F197" s="61">
        <v>649</v>
      </c>
      <c r="G197" s="61">
        <v>574</v>
      </c>
      <c r="H197" s="61">
        <v>1223</v>
      </c>
      <c r="I197" s="61">
        <v>666</v>
      </c>
      <c r="J197" s="61">
        <v>546</v>
      </c>
      <c r="K197" s="62">
        <v>1212</v>
      </c>
      <c r="L197" s="5">
        <v>3581</v>
      </c>
      <c r="M197" s="2">
        <f t="shared" si="29"/>
        <v>1927</v>
      </c>
      <c r="N197" s="5">
        <v>1654</v>
      </c>
      <c r="O197" s="16">
        <f t="shared" si="33"/>
        <v>53.8117844177604</v>
      </c>
      <c r="P197" s="14">
        <f t="shared" si="32"/>
        <v>46.1882155822396</v>
      </c>
      <c r="Q197" s="9" t="s">
        <v>78</v>
      </c>
      <c r="R197" s="19">
        <f t="shared" si="25"/>
        <v>0.85832900882200314</v>
      </c>
      <c r="S197" s="9">
        <f t="shared" si="31"/>
        <v>0.9</v>
      </c>
    </row>
    <row r="198" spans="1:19" ht="15.5" x14ac:dyDescent="0.35">
      <c r="A198" s="27" t="s">
        <v>44</v>
      </c>
      <c r="B198" s="5">
        <v>13</v>
      </c>
      <c r="C198" s="61">
        <v>1072</v>
      </c>
      <c r="D198" s="61">
        <v>953</v>
      </c>
      <c r="E198" s="61">
        <v>2025</v>
      </c>
      <c r="F198" s="61">
        <v>965</v>
      </c>
      <c r="G198" s="61">
        <v>825</v>
      </c>
      <c r="H198" s="61">
        <v>1790</v>
      </c>
      <c r="I198" s="61">
        <v>1209</v>
      </c>
      <c r="J198" s="61">
        <v>896</v>
      </c>
      <c r="K198" s="62">
        <v>2105</v>
      </c>
      <c r="L198" s="5">
        <v>5920</v>
      </c>
      <c r="M198" s="2">
        <f t="shared" ref="M198:M208" si="34">L198-N198</f>
        <v>3246</v>
      </c>
      <c r="N198" s="6">
        <v>2674</v>
      </c>
      <c r="O198" s="16">
        <f t="shared" si="33"/>
        <v>54.831081081081081</v>
      </c>
      <c r="P198" s="14">
        <f t="shared" si="32"/>
        <v>45.168918918918919</v>
      </c>
      <c r="Q198" s="9" t="s">
        <v>78</v>
      </c>
      <c r="R198" s="19">
        <f t="shared" si="25"/>
        <v>0.82378311768330259</v>
      </c>
      <c r="S198" s="9">
        <f t="shared" si="31"/>
        <v>0.8</v>
      </c>
    </row>
    <row r="199" spans="1:19" ht="15.5" x14ac:dyDescent="0.35">
      <c r="A199" s="27" t="s">
        <v>45</v>
      </c>
      <c r="B199" s="5">
        <v>16</v>
      </c>
      <c r="C199" s="61">
        <v>1022</v>
      </c>
      <c r="D199" s="61">
        <v>834</v>
      </c>
      <c r="E199" s="61">
        <v>1856</v>
      </c>
      <c r="F199" s="61">
        <v>1171</v>
      </c>
      <c r="G199" s="61">
        <v>816</v>
      </c>
      <c r="H199" s="61">
        <v>1987</v>
      </c>
      <c r="I199" s="61">
        <v>975</v>
      </c>
      <c r="J199" s="61">
        <v>706</v>
      </c>
      <c r="K199" s="62">
        <v>1681</v>
      </c>
      <c r="L199" s="5">
        <v>5524</v>
      </c>
      <c r="M199" s="2">
        <f t="shared" si="34"/>
        <v>3168</v>
      </c>
      <c r="N199" s="5">
        <v>2356</v>
      </c>
      <c r="O199" s="16">
        <f t="shared" si="33"/>
        <v>57.34974656046343</v>
      </c>
      <c r="P199" s="14">
        <f t="shared" si="32"/>
        <v>42.65025343953657</v>
      </c>
      <c r="Q199" s="9" t="s">
        <v>78</v>
      </c>
      <c r="R199" s="19">
        <f t="shared" si="25"/>
        <v>0.74368686868686873</v>
      </c>
      <c r="S199" s="9">
        <f t="shared" si="31"/>
        <v>0.7</v>
      </c>
    </row>
    <row r="200" spans="1:19" ht="15.5" x14ac:dyDescent="0.35">
      <c r="A200" s="27" t="s">
        <v>46</v>
      </c>
      <c r="B200" s="5">
        <v>16</v>
      </c>
      <c r="C200" s="61">
        <v>1195</v>
      </c>
      <c r="D200" s="61">
        <v>869</v>
      </c>
      <c r="E200" s="61">
        <v>2064</v>
      </c>
      <c r="F200" s="61">
        <v>1095</v>
      </c>
      <c r="G200" s="61">
        <v>643</v>
      </c>
      <c r="H200" s="61">
        <v>1738</v>
      </c>
      <c r="I200" s="61">
        <v>906</v>
      </c>
      <c r="J200" s="61">
        <v>581</v>
      </c>
      <c r="K200" s="62">
        <v>1487</v>
      </c>
      <c r="L200" s="5">
        <v>5289</v>
      </c>
      <c r="M200" s="2">
        <f t="shared" si="34"/>
        <v>3196</v>
      </c>
      <c r="N200" s="5">
        <v>2093</v>
      </c>
      <c r="O200" s="16">
        <f t="shared" si="33"/>
        <v>60.427301947438082</v>
      </c>
      <c r="P200" s="14">
        <f t="shared" si="32"/>
        <v>39.572698052561925</v>
      </c>
      <c r="Q200" s="9" t="s">
        <v>78</v>
      </c>
      <c r="R200" s="19">
        <f t="shared" si="25"/>
        <v>0.65488110137672095</v>
      </c>
      <c r="S200" s="9">
        <f t="shared" si="31"/>
        <v>0.7</v>
      </c>
    </row>
    <row r="201" spans="1:19" ht="15.5" x14ac:dyDescent="0.35">
      <c r="A201" s="27" t="s">
        <v>47</v>
      </c>
      <c r="B201" s="5">
        <v>5</v>
      </c>
      <c r="C201" s="61">
        <v>884</v>
      </c>
      <c r="D201" s="61">
        <v>552</v>
      </c>
      <c r="E201" s="61">
        <v>1436</v>
      </c>
      <c r="F201" s="61">
        <v>735</v>
      </c>
      <c r="G201" s="61">
        <v>489</v>
      </c>
      <c r="H201" s="61">
        <v>1224</v>
      </c>
      <c r="I201" s="61">
        <v>634</v>
      </c>
      <c r="J201" s="61">
        <v>420</v>
      </c>
      <c r="K201" s="62">
        <v>1054</v>
      </c>
      <c r="L201" s="5">
        <v>3714</v>
      </c>
      <c r="M201" s="2">
        <f t="shared" si="34"/>
        <v>2253</v>
      </c>
      <c r="N201" s="5">
        <v>1461</v>
      </c>
      <c r="O201" s="16">
        <f t="shared" si="33"/>
        <v>60.662358642972535</v>
      </c>
      <c r="P201" s="14">
        <f t="shared" si="32"/>
        <v>39.337641357027465</v>
      </c>
      <c r="Q201" s="9" t="s">
        <v>78</v>
      </c>
      <c r="R201" s="19">
        <f t="shared" si="25"/>
        <v>0.64846870838881498</v>
      </c>
      <c r="S201" s="9">
        <f t="shared" si="31"/>
        <v>0.6</v>
      </c>
    </row>
    <row r="202" spans="1:19" ht="15.5" x14ac:dyDescent="0.35">
      <c r="A202" s="27" t="s">
        <v>48</v>
      </c>
      <c r="B202" s="5">
        <v>20</v>
      </c>
      <c r="C202" s="61">
        <v>2034</v>
      </c>
      <c r="D202" s="61">
        <v>1707</v>
      </c>
      <c r="E202" s="61">
        <v>3741</v>
      </c>
      <c r="F202" s="61">
        <v>2019</v>
      </c>
      <c r="G202" s="61">
        <v>1604</v>
      </c>
      <c r="H202" s="61">
        <v>3623</v>
      </c>
      <c r="I202" s="61">
        <v>2157</v>
      </c>
      <c r="J202" s="61">
        <v>1805</v>
      </c>
      <c r="K202" s="62">
        <v>3962</v>
      </c>
      <c r="L202" s="5">
        <v>11326</v>
      </c>
      <c r="M202" s="2">
        <f t="shared" si="34"/>
        <v>6210</v>
      </c>
      <c r="N202" s="5">
        <v>5116</v>
      </c>
      <c r="O202" s="16">
        <f t="shared" si="33"/>
        <v>54.829595620695748</v>
      </c>
      <c r="P202" s="14">
        <f t="shared" si="32"/>
        <v>45.170404379304259</v>
      </c>
      <c r="Q202" s="9" t="s">
        <v>78</v>
      </c>
      <c r="R202" s="19">
        <f t="shared" si="25"/>
        <v>0.82383252818035424</v>
      </c>
      <c r="S202" s="9">
        <f t="shared" si="31"/>
        <v>0.8</v>
      </c>
    </row>
    <row r="203" spans="1:19" ht="15.5" x14ac:dyDescent="0.35">
      <c r="A203" s="27" t="s">
        <v>49</v>
      </c>
      <c r="B203" s="5">
        <v>10</v>
      </c>
      <c r="C203" s="61">
        <v>839</v>
      </c>
      <c r="D203" s="61">
        <v>641</v>
      </c>
      <c r="E203" s="61">
        <v>1480</v>
      </c>
      <c r="F203" s="61">
        <v>829</v>
      </c>
      <c r="G203" s="61">
        <v>588</v>
      </c>
      <c r="H203" s="61">
        <v>1417</v>
      </c>
      <c r="I203" s="61">
        <v>873</v>
      </c>
      <c r="J203" s="61">
        <v>552</v>
      </c>
      <c r="K203" s="62">
        <v>1425</v>
      </c>
      <c r="L203" s="5">
        <v>4322</v>
      </c>
      <c r="M203" s="2">
        <f t="shared" si="34"/>
        <v>2541</v>
      </c>
      <c r="N203" s="5">
        <v>1781</v>
      </c>
      <c r="O203" s="16">
        <f t="shared" si="33"/>
        <v>58.792225821378999</v>
      </c>
      <c r="P203" s="14">
        <f t="shared" si="32"/>
        <v>41.207774178621008</v>
      </c>
      <c r="Q203" s="9" t="s">
        <v>78</v>
      </c>
      <c r="R203" s="19">
        <f t="shared" si="25"/>
        <v>0.70090515545060994</v>
      </c>
      <c r="S203" s="9">
        <f t="shared" si="31"/>
        <v>0.7</v>
      </c>
    </row>
    <row r="204" spans="1:19" ht="15.5" x14ac:dyDescent="0.35">
      <c r="A204" s="27" t="s">
        <v>50</v>
      </c>
      <c r="B204" s="5">
        <v>13</v>
      </c>
      <c r="C204" s="61">
        <v>2741</v>
      </c>
      <c r="D204" s="61">
        <v>3797</v>
      </c>
      <c r="E204" s="61">
        <v>6538</v>
      </c>
      <c r="F204" s="61">
        <v>2420</v>
      </c>
      <c r="G204" s="61">
        <v>3448</v>
      </c>
      <c r="H204" s="61">
        <v>5868</v>
      </c>
      <c r="I204" s="61">
        <v>1908</v>
      </c>
      <c r="J204" s="61">
        <v>2913</v>
      </c>
      <c r="K204" s="62">
        <v>4821</v>
      </c>
      <c r="L204" s="5">
        <v>17227</v>
      </c>
      <c r="M204" s="2">
        <f t="shared" si="34"/>
        <v>7069</v>
      </c>
      <c r="N204" s="5">
        <v>10158</v>
      </c>
      <c r="O204" s="16">
        <f t="shared" si="33"/>
        <v>41.034422708538919</v>
      </c>
      <c r="P204" s="14">
        <f t="shared" si="32"/>
        <v>58.965577291461081</v>
      </c>
      <c r="Q204" s="9" t="s">
        <v>78</v>
      </c>
      <c r="R204" s="19">
        <f t="shared" si="25"/>
        <v>1.4369783562031406</v>
      </c>
      <c r="S204" s="9">
        <f t="shared" si="31"/>
        <v>1.4</v>
      </c>
    </row>
    <row r="205" spans="1:19" ht="15.5" x14ac:dyDescent="0.35">
      <c r="A205" s="27" t="s">
        <v>51</v>
      </c>
      <c r="B205" s="5">
        <v>15</v>
      </c>
      <c r="C205" s="61">
        <v>744</v>
      </c>
      <c r="D205" s="61">
        <v>712</v>
      </c>
      <c r="E205" s="61">
        <v>1456</v>
      </c>
      <c r="F205" s="61">
        <v>805</v>
      </c>
      <c r="G205" s="61">
        <v>816</v>
      </c>
      <c r="H205" s="61">
        <v>1621</v>
      </c>
      <c r="I205" s="61">
        <v>873</v>
      </c>
      <c r="J205" s="61">
        <v>785</v>
      </c>
      <c r="K205" s="62">
        <v>1658</v>
      </c>
      <c r="L205" s="5">
        <v>4735</v>
      </c>
      <c r="M205" s="2">
        <f t="shared" si="34"/>
        <v>2422</v>
      </c>
      <c r="N205" s="5">
        <v>2313</v>
      </c>
      <c r="O205" s="16">
        <f t="shared" si="33"/>
        <v>51.151003167898622</v>
      </c>
      <c r="P205" s="14">
        <f t="shared" si="32"/>
        <v>48.848996832101371</v>
      </c>
      <c r="Q205" s="9" t="s">
        <v>78</v>
      </c>
      <c r="R205" s="19">
        <f t="shared" si="25"/>
        <v>0.95499587118084228</v>
      </c>
      <c r="S205" s="19">
        <v>1</v>
      </c>
    </row>
    <row r="206" spans="1:19" ht="15.5" x14ac:dyDescent="0.35">
      <c r="A206" s="27" t="s">
        <v>52</v>
      </c>
      <c r="B206" s="5">
        <v>12</v>
      </c>
      <c r="C206" s="61">
        <v>1046</v>
      </c>
      <c r="D206" s="61">
        <v>476</v>
      </c>
      <c r="E206" s="61">
        <v>1522</v>
      </c>
      <c r="F206" s="61">
        <v>974</v>
      </c>
      <c r="G206" s="61">
        <v>315</v>
      </c>
      <c r="H206" s="61">
        <v>1289</v>
      </c>
      <c r="I206" s="61">
        <v>565</v>
      </c>
      <c r="J206" s="61">
        <v>154</v>
      </c>
      <c r="K206" s="62">
        <v>719</v>
      </c>
      <c r="L206" s="5">
        <v>3530</v>
      </c>
      <c r="M206" s="2">
        <f t="shared" si="34"/>
        <v>2585</v>
      </c>
      <c r="N206" s="5">
        <v>945</v>
      </c>
      <c r="O206" s="16">
        <f t="shared" si="33"/>
        <v>73.229461756373937</v>
      </c>
      <c r="P206" s="14">
        <f t="shared" si="32"/>
        <v>26.770538243626063</v>
      </c>
      <c r="Q206" s="9" t="s">
        <v>78</v>
      </c>
      <c r="R206" s="19">
        <f t="shared" si="25"/>
        <v>0.3655705996131528</v>
      </c>
      <c r="S206" s="9">
        <f t="shared" si="31"/>
        <v>0.4</v>
      </c>
    </row>
    <row r="207" spans="1:19" ht="15.5" x14ac:dyDescent="0.35">
      <c r="A207" s="27" t="s">
        <v>53</v>
      </c>
      <c r="B207" s="5">
        <v>43</v>
      </c>
      <c r="C207" s="61">
        <v>1716</v>
      </c>
      <c r="D207" s="61">
        <v>1875</v>
      </c>
      <c r="E207" s="61">
        <v>3591</v>
      </c>
      <c r="F207" s="61">
        <v>1688</v>
      </c>
      <c r="G207" s="61">
        <v>1753</v>
      </c>
      <c r="H207" s="61">
        <v>3441</v>
      </c>
      <c r="I207" s="61">
        <v>1515</v>
      </c>
      <c r="J207" s="61">
        <v>1573</v>
      </c>
      <c r="K207" s="62">
        <v>3088</v>
      </c>
      <c r="L207" s="5">
        <v>10120</v>
      </c>
      <c r="M207" s="2">
        <f t="shared" si="34"/>
        <v>4919</v>
      </c>
      <c r="N207" s="5">
        <v>5201</v>
      </c>
      <c r="O207" s="16">
        <f t="shared" si="33"/>
        <v>48.606719367588937</v>
      </c>
      <c r="P207" s="14">
        <f t="shared" si="32"/>
        <v>51.393280632411063</v>
      </c>
      <c r="Q207" s="9" t="s">
        <v>78</v>
      </c>
      <c r="R207" s="19">
        <f t="shared" si="25"/>
        <v>1.0573287253506809</v>
      </c>
      <c r="S207" s="9">
        <f t="shared" si="31"/>
        <v>1.1000000000000001</v>
      </c>
    </row>
    <row r="208" spans="1:19" ht="15.5" x14ac:dyDescent="0.35">
      <c r="A208" s="27" t="s">
        <v>54</v>
      </c>
      <c r="B208" s="5">
        <v>18</v>
      </c>
      <c r="C208" s="61">
        <v>4613</v>
      </c>
      <c r="D208" s="61">
        <v>4661</v>
      </c>
      <c r="E208" s="61">
        <v>9274</v>
      </c>
      <c r="F208" s="61">
        <v>4474</v>
      </c>
      <c r="G208" s="61">
        <v>4874</v>
      </c>
      <c r="H208" s="61">
        <v>9348</v>
      </c>
      <c r="I208" s="61">
        <v>4930</v>
      </c>
      <c r="J208" s="61">
        <v>4731</v>
      </c>
      <c r="K208" s="62">
        <v>9661</v>
      </c>
      <c r="L208" s="5">
        <v>28283</v>
      </c>
      <c r="M208" s="2">
        <f t="shared" si="34"/>
        <v>14017</v>
      </c>
      <c r="N208" s="5">
        <v>14266</v>
      </c>
      <c r="O208" s="16">
        <f t="shared" si="33"/>
        <v>49.559806244033517</v>
      </c>
      <c r="P208" s="14">
        <f t="shared" si="32"/>
        <v>50.440193755966476</v>
      </c>
      <c r="Q208" s="9" t="s">
        <v>78</v>
      </c>
      <c r="R208" s="19">
        <f t="shared" si="25"/>
        <v>1.0177641435399871</v>
      </c>
      <c r="S208" s="9">
        <f t="shared" si="31"/>
        <v>1</v>
      </c>
    </row>
  </sheetData>
  <phoneticPr fontId="1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buba</dc:creator>
  <cp:lastModifiedBy>Ayobami Iyanda</cp:lastModifiedBy>
  <dcterms:created xsi:type="dcterms:W3CDTF">2025-07-24T18:35:12Z</dcterms:created>
  <dcterms:modified xsi:type="dcterms:W3CDTF">2026-02-15T19:47:53Z</dcterms:modified>
</cp:coreProperties>
</file>